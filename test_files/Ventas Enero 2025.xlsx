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hondo\Desktop\Acciones Comerciales\1.- Enero\"/>
    </mc:Choice>
  </mc:AlternateContent>
  <xr:revisionPtr revIDLastSave="0" documentId="13_ncr:1_{248C9799-0A51-424C-BBDA-A01BFFB9E4E8}" xr6:coauthVersionLast="47" xr6:coauthVersionMax="47" xr10:uidLastSave="{00000000-0000-0000-0000-000000000000}"/>
  <bookViews>
    <workbookView xWindow="-120" yWindow="-120" windowWidth="20730" windowHeight="11040" xr2:uid="{F3BE5428-3BB3-9143-8223-9572720EDBCD}"/>
  </bookViews>
  <sheets>
    <sheet name="VW+ANDES" sheetId="5" r:id="rId1"/>
    <sheet name="VW" sheetId="2" r:id="rId2"/>
    <sheet name="ANDES" sheetId="3" r:id="rId3"/>
    <sheet name="USADOS" sheetId="4" r:id="rId4"/>
    <sheet name="Archivo con Bonos Ingresados " sheetId="6" r:id="rId5"/>
    <sheet name="Hoja4" sheetId="8" r:id="rId6"/>
  </sheets>
  <definedNames>
    <definedName name="_xlnm._FilterDatabase" localSheetId="3" hidden="1">USADOS!$I$1:$CM$32</definedName>
    <definedName name="_xlnm._FilterDatabase" localSheetId="1" hidden="1">VW!$A$1:$CJ$36</definedName>
    <definedName name="_xlnm._FilterDatabase" localSheetId="0" hidden="1">'VW+ANDES'!$A$1:$DD$49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5" l="1"/>
  <c r="X20" i="5"/>
  <c r="Z28" i="5" l="1"/>
  <c r="Z32" i="5"/>
  <c r="Z19" i="5"/>
  <c r="Z17" i="5"/>
  <c r="Z10" i="5"/>
  <c r="Z25" i="5"/>
  <c r="Z18" i="5"/>
  <c r="Z12" i="5"/>
  <c r="Z47" i="5"/>
  <c r="Z44" i="5"/>
  <c r="Z3" i="5"/>
  <c r="Z37" i="5"/>
  <c r="Z41" i="5"/>
  <c r="U12" i="5"/>
  <c r="R32" i="5"/>
  <c r="R28" i="5"/>
  <c r="R17" i="5"/>
  <c r="X19" i="5"/>
  <c r="R19" i="5"/>
  <c r="R10" i="5"/>
  <c r="V12" i="5" l="1"/>
  <c r="Z30" i="5"/>
  <c r="Z24" i="5"/>
  <c r="Z9" i="5"/>
  <c r="Z48" i="5"/>
  <c r="Z15" i="5"/>
  <c r="Z13" i="5"/>
  <c r="Z39" i="5"/>
  <c r="Z38" i="5"/>
  <c r="Z31" i="5"/>
  <c r="Z2" i="5"/>
  <c r="Z26" i="5"/>
  <c r="Z46" i="5"/>
  <c r="Z20" i="5"/>
  <c r="Z29" i="5"/>
  <c r="Z7" i="5"/>
  <c r="Z8" i="5"/>
  <c r="Z6" i="5"/>
  <c r="Z42" i="5"/>
  <c r="Z5" i="5"/>
  <c r="Z43" i="5"/>
  <c r="Z21" i="5"/>
  <c r="Z22" i="5"/>
  <c r="Z35" i="5"/>
  <c r="Z23" i="5"/>
  <c r="Z16" i="5"/>
  <c r="Z27" i="5"/>
  <c r="Z33" i="5"/>
  <c r="Z40" i="5"/>
  <c r="Z11" i="5"/>
  <c r="Z4" i="5"/>
  <c r="Z36" i="5"/>
  <c r="Z14" i="5"/>
  <c r="Z45" i="5"/>
  <c r="Z34" i="5"/>
  <c r="G20" i="4" l="1"/>
  <c r="W36" i="5" l="1"/>
  <c r="W23" i="5"/>
  <c r="W34" i="5"/>
  <c r="W7" i="5"/>
  <c r="W8" i="5"/>
  <c r="W2" i="5"/>
  <c r="W6" i="5"/>
  <c r="W31" i="5"/>
  <c r="W42" i="5"/>
  <c r="W11" i="5"/>
  <c r="W29" i="5"/>
  <c r="W38" i="5"/>
  <c r="W16" i="5"/>
  <c r="W30" i="5"/>
  <c r="W13" i="5"/>
  <c r="W46" i="5"/>
  <c r="W5" i="5"/>
  <c r="W33" i="5"/>
  <c r="W39" i="5"/>
  <c r="W26" i="5"/>
  <c r="W45" i="5"/>
  <c r="W43" i="5"/>
  <c r="W21" i="5"/>
  <c r="W22" i="5"/>
  <c r="W40" i="5"/>
  <c r="W48" i="5"/>
  <c r="W24" i="5"/>
  <c r="W9" i="5"/>
  <c r="W4" i="5"/>
  <c r="W14" i="5"/>
  <c r="W35" i="5"/>
  <c r="W15" i="5"/>
  <c r="W47" i="5"/>
  <c r="W18" i="5"/>
  <c r="W44" i="5"/>
  <c r="W3" i="5"/>
  <c r="W41" i="5"/>
  <c r="W10" i="5"/>
  <c r="W17" i="5"/>
  <c r="W12" i="5"/>
  <c r="W28" i="5"/>
  <c r="W37" i="5"/>
  <c r="W25" i="5"/>
  <c r="W32" i="5"/>
  <c r="W27" i="5"/>
  <c r="V36" i="5"/>
  <c r="V23" i="5"/>
  <c r="V34" i="5"/>
  <c r="V7" i="5"/>
  <c r="V8" i="5"/>
  <c r="V2" i="5"/>
  <c r="V6" i="5"/>
  <c r="V31" i="5"/>
  <c r="V42" i="5"/>
  <c r="V11" i="5"/>
  <c r="V29" i="5"/>
  <c r="V38" i="5"/>
  <c r="V16" i="5"/>
  <c r="V30" i="5"/>
  <c r="V13" i="5"/>
  <c r="V46" i="5"/>
  <c r="V5" i="5"/>
  <c r="V33" i="5"/>
  <c r="V39" i="5"/>
  <c r="V26" i="5"/>
  <c r="V45" i="5"/>
  <c r="V43" i="5"/>
  <c r="V20" i="5"/>
  <c r="V21" i="5"/>
  <c r="V22" i="5"/>
  <c r="V40" i="5"/>
  <c r="V48" i="5"/>
  <c r="V24" i="5"/>
  <c r="V9" i="5"/>
  <c r="V4" i="5"/>
  <c r="V14" i="5"/>
  <c r="V35" i="5"/>
  <c r="V15" i="5"/>
  <c r="V47" i="5"/>
  <c r="V19" i="5"/>
  <c r="V18" i="5"/>
  <c r="V44" i="5"/>
  <c r="V3" i="5"/>
  <c r="V41" i="5"/>
  <c r="V10" i="5"/>
  <c r="V17" i="5"/>
  <c r="V28" i="5"/>
  <c r="V37" i="5"/>
  <c r="V25" i="5"/>
  <c r="V32" i="5"/>
  <c r="V27" i="5"/>
  <c r="S36" i="5"/>
  <c r="S23" i="5"/>
  <c r="S34" i="5"/>
  <c r="S7" i="5"/>
  <c r="S8" i="5"/>
  <c r="S2" i="5"/>
  <c r="S6" i="5"/>
  <c r="S31" i="5"/>
  <c r="S42" i="5"/>
  <c r="S11" i="5"/>
  <c r="S29" i="5"/>
  <c r="S38" i="5"/>
  <c r="S16" i="5"/>
  <c r="S30" i="5"/>
  <c r="S13" i="5"/>
  <c r="S46" i="5"/>
  <c r="S5" i="5"/>
  <c r="S33" i="5"/>
  <c r="S39" i="5"/>
  <c r="S26" i="5"/>
  <c r="S45" i="5"/>
  <c r="S43" i="5"/>
  <c r="S20" i="5"/>
  <c r="S21" i="5"/>
  <c r="S22" i="5"/>
  <c r="S40" i="5"/>
  <c r="S48" i="5"/>
  <c r="S24" i="5"/>
  <c r="S9" i="5"/>
  <c r="S4" i="5"/>
  <c r="S14" i="5"/>
  <c r="S35" i="5"/>
  <c r="S15" i="5"/>
  <c r="S47" i="5"/>
  <c r="S19" i="5"/>
  <c r="S18" i="5"/>
  <c r="S44" i="5"/>
  <c r="S3" i="5"/>
  <c r="S41" i="5"/>
  <c r="S10" i="5"/>
  <c r="S17" i="5"/>
  <c r="S12" i="5"/>
  <c r="S28" i="5"/>
  <c r="S37" i="5"/>
  <c r="S25" i="5"/>
  <c r="S32" i="5"/>
  <c r="S27" i="5"/>
  <c r="Q36" i="5"/>
  <c r="Q23" i="5"/>
  <c r="Q34" i="5"/>
  <c r="Q7" i="5"/>
  <c r="Q8" i="5"/>
  <c r="Q2" i="5"/>
  <c r="Q6" i="5"/>
  <c r="Q31" i="5"/>
  <c r="Q42" i="5"/>
  <c r="Q11" i="5"/>
  <c r="Q29" i="5"/>
  <c r="Q38" i="5"/>
  <c r="Q16" i="5"/>
  <c r="Q30" i="5"/>
  <c r="Q13" i="5"/>
  <c r="Q46" i="5"/>
  <c r="Q5" i="5"/>
  <c r="Q33" i="5"/>
  <c r="Q39" i="5"/>
  <c r="Q26" i="5"/>
  <c r="Q45" i="5"/>
  <c r="Q43" i="5"/>
  <c r="Q20" i="5"/>
  <c r="Q21" i="5"/>
  <c r="Q22" i="5"/>
  <c r="Q40" i="5"/>
  <c r="Q48" i="5"/>
  <c r="Q24" i="5"/>
  <c r="Q9" i="5"/>
  <c r="Q4" i="5"/>
  <c r="Q14" i="5"/>
  <c r="Q35" i="5"/>
  <c r="Q15" i="5"/>
  <c r="Q47" i="5"/>
  <c r="Q18" i="5"/>
  <c r="Q44" i="5"/>
  <c r="Q3" i="5"/>
  <c r="Q41" i="5"/>
  <c r="Q12" i="5"/>
  <c r="Q37" i="5"/>
  <c r="Q25" i="5"/>
  <c r="Q27" i="5"/>
  <c r="P36" i="5"/>
  <c r="P23" i="5"/>
  <c r="P34" i="5"/>
  <c r="P7" i="5"/>
  <c r="P8" i="5"/>
  <c r="P2" i="5"/>
  <c r="P6" i="5"/>
  <c r="P31" i="5"/>
  <c r="P42" i="5"/>
  <c r="P11" i="5"/>
  <c r="P29" i="5"/>
  <c r="P38" i="5"/>
  <c r="P16" i="5"/>
  <c r="P30" i="5"/>
  <c r="P13" i="5"/>
  <c r="P46" i="5"/>
  <c r="P5" i="5"/>
  <c r="P33" i="5"/>
  <c r="P39" i="5"/>
  <c r="P26" i="5"/>
  <c r="P45" i="5"/>
  <c r="P43" i="5"/>
  <c r="P20" i="5"/>
  <c r="P21" i="5"/>
  <c r="P22" i="5"/>
  <c r="P40" i="5"/>
  <c r="P48" i="5"/>
  <c r="P24" i="5"/>
  <c r="P9" i="5"/>
  <c r="P4" i="5"/>
  <c r="P14" i="5"/>
  <c r="P35" i="5"/>
  <c r="P15" i="5"/>
  <c r="P47" i="5"/>
  <c r="P19" i="5"/>
  <c r="P18" i="5"/>
  <c r="P44" i="5"/>
  <c r="P3" i="5"/>
  <c r="P41" i="5"/>
  <c r="P10" i="5"/>
  <c r="P17" i="5"/>
  <c r="P12" i="5"/>
  <c r="P28" i="5"/>
  <c r="P37" i="5"/>
  <c r="P25" i="5"/>
  <c r="P32" i="5"/>
  <c r="P27" i="5"/>
  <c r="M36" i="5"/>
  <c r="M23" i="5"/>
  <c r="M34" i="5"/>
  <c r="M7" i="5"/>
  <c r="M8" i="5"/>
  <c r="M2" i="5"/>
  <c r="M6" i="5"/>
  <c r="M31" i="5"/>
  <c r="M42" i="5"/>
  <c r="M11" i="5"/>
  <c r="M29" i="5"/>
  <c r="M38" i="5"/>
  <c r="M16" i="5"/>
  <c r="M30" i="5"/>
  <c r="M13" i="5"/>
  <c r="M46" i="5"/>
  <c r="M5" i="5"/>
  <c r="M33" i="5"/>
  <c r="M39" i="5"/>
  <c r="M26" i="5"/>
  <c r="M45" i="5"/>
  <c r="M43" i="5"/>
  <c r="M20" i="5"/>
  <c r="M21" i="5"/>
  <c r="M22" i="5"/>
  <c r="M40" i="5"/>
  <c r="M48" i="5"/>
  <c r="M24" i="5"/>
  <c r="M9" i="5"/>
  <c r="M4" i="5"/>
  <c r="M14" i="5"/>
  <c r="M35" i="5"/>
  <c r="M15" i="5"/>
  <c r="M47" i="5"/>
  <c r="M19" i="5"/>
  <c r="M18" i="5"/>
  <c r="M44" i="5"/>
  <c r="M3" i="5"/>
  <c r="M41" i="5"/>
  <c r="M10" i="5"/>
  <c r="M17" i="5"/>
  <c r="M12" i="5"/>
  <c r="M28" i="5"/>
  <c r="M37" i="5"/>
  <c r="M25" i="5"/>
  <c r="M32" i="5"/>
  <c r="M27" i="5"/>
  <c r="K47" i="5"/>
  <c r="K19" i="5"/>
  <c r="K18" i="5"/>
  <c r="K44" i="5"/>
  <c r="K3" i="5"/>
  <c r="K41" i="5"/>
  <c r="K10" i="5"/>
  <c r="K17" i="5"/>
  <c r="K12" i="5"/>
  <c r="K28" i="5"/>
  <c r="K37" i="5"/>
  <c r="K25" i="5"/>
  <c r="K32" i="5"/>
  <c r="K36" i="5"/>
  <c r="K23" i="5"/>
  <c r="K34" i="5"/>
  <c r="K7" i="5"/>
  <c r="K8" i="5"/>
  <c r="K2" i="5"/>
  <c r="K6" i="5"/>
  <c r="K31" i="5"/>
  <c r="K42" i="5"/>
  <c r="K11" i="5"/>
  <c r="K29" i="5"/>
  <c r="K38" i="5"/>
  <c r="K16" i="5"/>
  <c r="K30" i="5"/>
  <c r="K13" i="5"/>
  <c r="K46" i="5"/>
  <c r="K5" i="5"/>
  <c r="K33" i="5"/>
  <c r="K39" i="5"/>
  <c r="K26" i="5"/>
  <c r="K45" i="5"/>
  <c r="K43" i="5"/>
  <c r="K20" i="5"/>
  <c r="K21" i="5"/>
  <c r="K22" i="5"/>
  <c r="K40" i="5"/>
  <c r="K48" i="5"/>
  <c r="K24" i="5"/>
  <c r="K9" i="5"/>
  <c r="K4" i="5"/>
  <c r="K14" i="5"/>
  <c r="K35" i="5"/>
  <c r="K15" i="5"/>
  <c r="K27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2" i="4"/>
  <c r="H34" i="4"/>
  <c r="G36" i="4"/>
  <c r="G35" i="4"/>
  <c r="G34" i="4"/>
  <c r="E16" i="8"/>
  <c r="E15" i="8"/>
  <c r="J8" i="8"/>
  <c r="J6" i="8"/>
  <c r="J4" i="8"/>
  <c r="J10" i="8" s="1"/>
  <c r="Y15" i="5" l="1"/>
  <c r="H37" i="8" s="1"/>
  <c r="Y14" i="5"/>
  <c r="H35" i="8" s="1"/>
  <c r="Y48" i="5"/>
  <c r="H31" i="8" s="1"/>
  <c r="Y22" i="5"/>
  <c r="H29" i="8" s="1"/>
  <c r="Y45" i="5"/>
  <c r="H25" i="8" s="1"/>
  <c r="Y39" i="5"/>
  <c r="H23" i="8" s="1"/>
  <c r="Y5" i="5"/>
  <c r="H21" i="8" s="1"/>
  <c r="Y13" i="5"/>
  <c r="H19" i="8" s="1"/>
  <c r="Y42" i="5"/>
  <c r="H13" i="8" s="1"/>
  <c r="Y8" i="5"/>
  <c r="H9" i="8" s="1"/>
  <c r="Y25" i="5"/>
  <c r="B15" i="8" s="1"/>
  <c r="Y28" i="5"/>
  <c r="B13" i="8" s="1"/>
  <c r="Y17" i="5"/>
  <c r="B11" i="8" s="1"/>
  <c r="Y41" i="5"/>
  <c r="B9" i="8" s="1"/>
  <c r="Y44" i="5"/>
  <c r="B7" i="8" s="1"/>
  <c r="Y19" i="5"/>
  <c r="B5" i="8" s="1"/>
  <c r="Y9" i="5"/>
  <c r="H33" i="8" s="1"/>
  <c r="Y20" i="5"/>
  <c r="H27" i="8" s="1"/>
  <c r="Y16" i="5"/>
  <c r="H17" i="8" s="1"/>
  <c r="Y29" i="5"/>
  <c r="H15" i="8" s="1"/>
  <c r="Y6" i="5"/>
  <c r="H11" i="8" s="1"/>
  <c r="Y34" i="5"/>
  <c r="H7" i="8" s="1"/>
  <c r="Y36" i="5"/>
  <c r="H5" i="8" s="1"/>
  <c r="Y27" i="5"/>
  <c r="H4" i="8" s="1"/>
  <c r="Y4" i="5"/>
  <c r="H34" i="8" s="1"/>
  <c r="Y24" i="5"/>
  <c r="H32" i="8" s="1"/>
  <c r="Y40" i="5"/>
  <c r="H30" i="8" s="1"/>
  <c r="Y21" i="5"/>
  <c r="H28" i="8" s="1"/>
  <c r="Y43" i="5"/>
  <c r="H26" i="8" s="1"/>
  <c r="Y26" i="5"/>
  <c r="H24" i="8" s="1"/>
  <c r="Y46" i="5"/>
  <c r="H20" i="8" s="1"/>
  <c r="Y30" i="5"/>
  <c r="H18" i="8" s="1"/>
  <c r="Y38" i="5"/>
  <c r="H16" i="8" s="1"/>
  <c r="Y11" i="5"/>
  <c r="H14" i="8" s="1"/>
  <c r="Y31" i="5"/>
  <c r="H12" i="8" s="1"/>
  <c r="Y7" i="5"/>
  <c r="H8" i="8" s="1"/>
  <c r="Y32" i="5"/>
  <c r="B16" i="8" s="1"/>
  <c r="Y37" i="5"/>
  <c r="B14" i="8" s="1"/>
  <c r="Y12" i="5"/>
  <c r="B12" i="8" s="1"/>
  <c r="Y10" i="5"/>
  <c r="B10" i="8" s="1"/>
  <c r="Y3" i="5"/>
  <c r="B8" i="8" s="1"/>
  <c r="Y18" i="5"/>
  <c r="B6" i="8" s="1"/>
  <c r="Y47" i="5"/>
  <c r="B4" i="8" s="1"/>
  <c r="Y35" i="5"/>
  <c r="H36" i="8" s="1"/>
  <c r="Y33" i="5"/>
  <c r="H22" i="8" s="1"/>
  <c r="Y2" i="5"/>
  <c r="H10" i="8" s="1"/>
  <c r="Y23" i="5"/>
  <c r="H6" i="8" s="1"/>
  <c r="AB3" i="5"/>
  <c r="AA48" i="5"/>
  <c r="AA17" i="5"/>
  <c r="AA44" i="5"/>
  <c r="AB4" i="5"/>
  <c r="AA36" i="5"/>
  <c r="AA15" i="5"/>
  <c r="AB15" i="5"/>
  <c r="AA9" i="5"/>
  <c r="AB9" i="5"/>
  <c r="AA45" i="5"/>
  <c r="AB45" i="5"/>
  <c r="AA5" i="5"/>
  <c r="AB5" i="5"/>
  <c r="AA16" i="5"/>
  <c r="AB16" i="5"/>
  <c r="AA42" i="5"/>
  <c r="AB42" i="5"/>
  <c r="AB43" i="5"/>
  <c r="AB24" i="5" l="1"/>
  <c r="AA43" i="5"/>
  <c r="AB36" i="5"/>
  <c r="AB23" i="5"/>
  <c r="AA37" i="5"/>
  <c r="AA28" i="5"/>
  <c r="AA39" i="5"/>
  <c r="AB33" i="5"/>
  <c r="AB47" i="5"/>
  <c r="AB10" i="5"/>
  <c r="AA22" i="5"/>
  <c r="AA41" i="5"/>
  <c r="AA8" i="5"/>
  <c r="AA19" i="5"/>
  <c r="AB41" i="5"/>
  <c r="AB28" i="5"/>
  <c r="AB8" i="5"/>
  <c r="AB22" i="5"/>
  <c r="AB19" i="5"/>
  <c r="AA14" i="5"/>
  <c r="AA2" i="5"/>
  <c r="AA35" i="5"/>
  <c r="AA30" i="5"/>
  <c r="AB18" i="5"/>
  <c r="AB2" i="5"/>
  <c r="AB30" i="5"/>
  <c r="AA18" i="5"/>
  <c r="AA10" i="5"/>
  <c r="AB37" i="5"/>
  <c r="AA29" i="5"/>
  <c r="V55" i="5"/>
  <c r="AB35" i="5"/>
  <c r="AA24" i="5"/>
  <c r="AB32" i="5"/>
  <c r="AA20" i="5"/>
  <c r="AB44" i="5"/>
  <c r="AA11" i="5"/>
  <c r="AB40" i="5"/>
  <c r="AA12" i="5"/>
  <c r="AB17" i="5"/>
  <c r="AA6" i="5"/>
  <c r="AB39" i="5"/>
  <c r="AB48" i="5"/>
  <c r="AB11" i="5"/>
  <c r="AA40" i="5"/>
  <c r="AB29" i="5"/>
  <c r="AA13" i="5"/>
  <c r="AA34" i="5"/>
  <c r="AA47" i="5"/>
  <c r="AB12" i="5"/>
  <c r="AA25" i="5"/>
  <c r="Y49" i="5"/>
  <c r="AA49" i="5" s="1"/>
  <c r="AB34" i="5"/>
  <c r="AA23" i="5"/>
  <c r="AA33" i="5"/>
  <c r="AA4" i="5"/>
  <c r="AA3" i="5"/>
  <c r="AB25" i="5"/>
  <c r="AB6" i="5"/>
  <c r="AB13" i="5"/>
  <c r="AB20" i="5"/>
  <c r="AB14" i="5"/>
  <c r="AA32" i="5"/>
  <c r="AB7" i="5"/>
  <c r="AA7" i="5"/>
  <c r="AB38" i="5"/>
  <c r="AA38" i="5"/>
  <c r="AB26" i="5"/>
  <c r="AA26" i="5"/>
  <c r="AA27" i="5"/>
  <c r="AB27" i="5"/>
  <c r="AB31" i="5"/>
  <c r="AA31" i="5"/>
  <c r="AB46" i="5"/>
  <c r="AA46" i="5"/>
  <c r="AB21" i="5"/>
  <c r="AA21" i="5"/>
  <c r="B52" i="8" l="1"/>
  <c r="W54" i="5" s="1"/>
  <c r="B51" i="8"/>
  <c r="V54" i="5" s="1"/>
  <c r="H56" i="8"/>
  <c r="V52" i="5" s="1"/>
  <c r="H57" i="8"/>
  <c r="W52" i="5" l="1"/>
  <c r="W56" i="5" s="1"/>
  <c r="L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 Guzman</author>
    <author>Elena Guzmán</author>
  </authors>
  <commentList>
    <comment ref="K1" authorId="0" shapeId="0" xr:uid="{DC8A8100-61F1-48E8-A66F-9002D490DFA0}">
      <text>
        <r>
          <rPr>
            <b/>
            <sz val="9"/>
            <color indexed="81"/>
            <rFont val="Tahoma"/>
            <family val="2"/>
          </rPr>
          <t>Copiar de celda BC
 "Precio Compra"
 entre "Documento" y "vencimiento factura"</t>
        </r>
      </text>
    </comment>
    <comment ref="M1" authorId="0" shapeId="0" xr:uid="{FBB5DE0E-CA4A-416C-B5FA-DE566E39B509}">
      <text>
        <r>
          <rPr>
            <b/>
            <sz val="9"/>
            <color indexed="81"/>
            <rFont val="Tahoma"/>
            <family val="2"/>
          </rPr>
          <t xml:space="preserve">Copiar Celda BV
"Tramites Costo" 
Entre "tramites venta" y "tramites margen"
</t>
        </r>
      </text>
    </comment>
    <comment ref="P1" authorId="0" shapeId="0" xr:uid="{58231746-E181-4AAA-9B86-3981DA9E80DC}">
      <text>
        <r>
          <rPr>
            <b/>
            <sz val="9"/>
            <color indexed="81"/>
            <rFont val="Tahoma"/>
            <family val="2"/>
          </rPr>
          <t>Copiar Celda CW
"Venta sin Créditos y Seguros" entre Total venta y Margen de venta</t>
        </r>
      </text>
    </comment>
    <comment ref="Q1" authorId="0" shapeId="0" xr:uid="{05DCA399-B5D9-4D25-8BD9-9715FDDEAA62}">
      <text>
        <r>
          <rPr>
            <b/>
            <sz val="9"/>
            <color indexed="81"/>
            <rFont val="Tahoma"/>
            <family val="2"/>
          </rPr>
          <t>Celda R * 1,19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C0A02795-3005-4454-8684-7A4A0D5CD33A}">
      <text>
        <r>
          <rPr>
            <b/>
            <sz val="9"/>
            <color indexed="81"/>
            <rFont val="Tahoma"/>
            <family val="2"/>
          </rPr>
          <t>Celda T * 1,19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" authorId="0" shapeId="0" xr:uid="{63487B55-2460-4D95-9F69-8C09A41C6B0F}">
      <text>
        <r>
          <rPr>
            <b/>
            <sz val="9"/>
            <color indexed="81"/>
            <rFont val="Tahoma"/>
            <family val="2"/>
          </rPr>
          <t>Celda U /1,19</t>
        </r>
      </text>
    </comment>
    <comment ref="W1" authorId="0" shapeId="0" xr:uid="{FB1E97C7-CE6B-4FE3-A9BC-649EDEEC5687}">
      <text>
        <r>
          <rPr>
            <b/>
            <sz val="9"/>
            <color indexed="81"/>
            <rFont val="Tahoma"/>
            <family val="2"/>
          </rPr>
          <t>Celda X *1,19</t>
        </r>
      </text>
    </comment>
    <comment ref="X2" authorId="1" shapeId="0" xr:uid="{9F5D8712-D1A3-4BC7-9F00-3CC14CB9495D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T4" authorId="1" shapeId="0" xr:uid="{AB6DE835-6904-4C55-AA9A-F541C689C41E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R5" authorId="1" shapeId="0" xr:uid="{559588FE-B754-412F-9A24-9F6E83388CF4}">
      <text>
        <r>
          <rPr>
            <b/>
            <sz val="9"/>
            <color indexed="81"/>
            <rFont val="Tahoma"/>
            <family val="2"/>
          </rPr>
          <t>ACCION COMERCIAL PAGADA EN DICIEMBRE</t>
        </r>
      </text>
    </comment>
    <comment ref="R6" authorId="1" shapeId="0" xr:uid="{B598C082-DA3C-484D-A23A-F9F23069F06B}">
      <text>
        <r>
          <rPr>
            <b/>
            <sz val="9"/>
            <color indexed="81"/>
            <rFont val="Tahoma"/>
            <family val="2"/>
          </rPr>
          <t>ACCION COMERCIAL PAGADA EN DICIEMBRE</t>
        </r>
      </text>
    </comment>
    <comment ref="R7" authorId="1" shapeId="0" xr:uid="{8D4327D2-F013-425E-B429-D382175D855D}">
      <text>
        <r>
          <rPr>
            <b/>
            <sz val="9"/>
            <color indexed="81"/>
            <rFont val="Tahoma"/>
            <charset val="1"/>
          </rPr>
          <t>ACCION COMERCIAL PAGADA EN NOVIEMBRE</t>
        </r>
      </text>
    </comment>
    <comment ref="R8" authorId="1" shapeId="0" xr:uid="{C8351527-05B0-4A0E-BECA-03337D0329EE}">
      <text>
        <r>
          <rPr>
            <b/>
            <sz val="9"/>
            <color indexed="81"/>
            <rFont val="Tahoma"/>
            <family val="2"/>
          </rPr>
          <t>ACCION COMERCIAL PAGADA EN NOVIEMBRE</t>
        </r>
      </text>
    </comment>
    <comment ref="T11" authorId="1" shapeId="0" xr:uid="{98358225-B815-4A5E-998C-6AA4B2E863D0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T13" authorId="1" shapeId="0" xr:uid="{86F355CF-7FB8-4770-8047-A919629AEFF1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T14" authorId="1" shapeId="0" xr:uid="{63136C4B-973A-499E-B75E-D4553BD411D6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T15" authorId="1" shapeId="0" xr:uid="{7D6FA1C5-EAC8-4DB6-A1A0-7DAB096D2EDA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R20" authorId="1" shapeId="0" xr:uid="{488123AF-9FD9-4E1F-A554-E049CD18917F}">
      <text>
        <r>
          <rPr>
            <b/>
            <sz val="9"/>
            <color indexed="81"/>
            <rFont val="Tahoma"/>
            <family val="2"/>
          </rPr>
          <t>ACCION COMERCIAL PAGADA EN DICIEMBRE</t>
        </r>
      </text>
    </comment>
    <comment ref="T21" authorId="1" shapeId="0" xr:uid="{AA09CBCA-13D5-4F9D-949D-60A629910C01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X21" authorId="1" shapeId="0" xr:uid="{77183E50-E34B-4450-BF1B-57EBD0D756C6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X22" authorId="1" shapeId="0" xr:uid="{2483D0E7-B0A8-4D89-948F-8F692EB77D9F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T24" authorId="1" shapeId="0" xr:uid="{F8CC70D8-796A-45CD-B9BA-B24935D82D9E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R26" authorId="1" shapeId="0" xr:uid="{832AB535-465F-45E6-A2D7-0C0B30E0315B}">
      <text>
        <r>
          <rPr>
            <b/>
            <sz val="9"/>
            <color indexed="81"/>
            <rFont val="Tahoma"/>
            <family val="2"/>
          </rPr>
          <t>PAGADA EN ACC JULIO (MULTA CALIDAD)</t>
        </r>
      </text>
    </comment>
    <comment ref="T26" authorId="1" shapeId="0" xr:uid="{337010B5-B7C1-4F73-ADBC-2D10CADE9694}">
      <text>
        <r>
          <rPr>
            <b/>
            <sz val="9"/>
            <color indexed="81"/>
            <rFont val="Tahoma"/>
            <family val="2"/>
          </rPr>
          <t>reversa multa calidad pagada en agosto</t>
        </r>
      </text>
    </comment>
    <comment ref="T27" authorId="1" shapeId="0" xr:uid="{A0C4AA1E-4EA7-48A6-9AAA-9045023761E1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R29" authorId="1" shapeId="0" xr:uid="{2FB68580-267C-43EA-AADB-6F2C241689D7}">
      <text>
        <r>
          <rPr>
            <b/>
            <sz val="9"/>
            <color indexed="81"/>
            <rFont val="Tahoma"/>
            <family val="2"/>
          </rPr>
          <t>Acción comercial pagada en diciembre</t>
        </r>
      </text>
    </comment>
    <comment ref="N34" authorId="1" shapeId="0" xr:uid="{212A9021-8360-4787-8803-D66E68F29079}">
      <text>
        <r>
          <rPr>
            <b/>
            <sz val="9"/>
            <color indexed="81"/>
            <rFont val="Tahoma"/>
            <family val="2"/>
          </rPr>
          <t>COMBUSTIBLE</t>
        </r>
      </text>
    </comment>
    <comment ref="R34" authorId="1" shapeId="0" xr:uid="{104D003D-3DD6-4AAB-9460-8D2F9688E0CD}">
      <text>
        <r>
          <rPr>
            <b/>
            <sz val="9"/>
            <color indexed="81"/>
            <rFont val="Tahoma"/>
            <charset val="1"/>
          </rPr>
          <t>accion comercial pagada en octubre</t>
        </r>
      </text>
    </comment>
    <comment ref="R38" authorId="1" shapeId="0" xr:uid="{2E5C6E76-253F-4BF7-9568-6D30E3EF66F9}">
      <text>
        <r>
          <rPr>
            <b/>
            <sz val="9"/>
            <color indexed="81"/>
            <rFont val="Tahoma"/>
            <family val="2"/>
          </rPr>
          <t>acción comercial pagada en diciembre</t>
        </r>
      </text>
    </comment>
    <comment ref="T39" authorId="1" shapeId="0" xr:uid="{B2F6EFA6-8FFA-4CDD-BA31-05B834DE9298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T40" authorId="1" shapeId="0" xr:uid="{454A6601-716A-453B-89B9-F9EB43155C52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  <comment ref="R42" authorId="1" shapeId="0" xr:uid="{9C275563-A970-42DE-A65E-E082E1EE586A}">
      <text>
        <r>
          <rPr>
            <b/>
            <sz val="9"/>
            <color indexed="81"/>
            <rFont val="Tahoma"/>
            <family val="2"/>
          </rPr>
          <t>Pagado en Diciembre</t>
        </r>
      </text>
    </comment>
    <comment ref="R43" authorId="1" shapeId="0" xr:uid="{1218E56B-4216-4A3B-888E-CC827B8FACD6}">
      <text>
        <r>
          <rPr>
            <b/>
            <sz val="9"/>
            <color indexed="81"/>
            <rFont val="Tahoma"/>
            <family val="2"/>
          </rPr>
          <t>Pagado en Diciembre</t>
        </r>
      </text>
    </comment>
    <comment ref="R46" authorId="1" shapeId="0" xr:uid="{0922689E-3456-4C53-B544-54DEA6E0BABE}">
      <text>
        <r>
          <rPr>
            <b/>
            <sz val="9"/>
            <color indexed="81"/>
            <rFont val="Tahoma"/>
            <family val="2"/>
          </rPr>
          <t>ACCION COMERCIAL PAGADA EN DICIEMBRE</t>
        </r>
      </text>
    </comment>
    <comment ref="T48" authorId="1" shapeId="0" xr:uid="{4514B2A0-1BC6-4144-8931-441202709959}">
      <text>
        <r>
          <rPr>
            <b/>
            <sz val="9"/>
            <color indexed="81"/>
            <rFont val="Tahoma"/>
            <charset val="1"/>
          </rPr>
          <t>Informado en 0</t>
        </r>
      </text>
    </comment>
  </commentList>
</comments>
</file>

<file path=xl/sharedStrings.xml><?xml version="1.0" encoding="utf-8"?>
<sst xmlns="http://schemas.openxmlformats.org/spreadsheetml/2006/main" count="8624" uniqueCount="1315">
  <si>
    <t>Sucursal</t>
  </si>
  <si>
    <t>Vendedor</t>
  </si>
  <si>
    <t>Cliente</t>
  </si>
  <si>
    <t>Marca</t>
  </si>
  <si>
    <t>CASA MATRIZ NUEVOS</t>
  </si>
  <si>
    <t>JUAN PABLO GONZALEZ ACUÑA</t>
  </si>
  <si>
    <t>VOLKSWAGEN</t>
  </si>
  <si>
    <t>BLANCO CANDY</t>
  </si>
  <si>
    <t>ROBERTO LOBOS GUTIERREZ</t>
  </si>
  <si>
    <t>SAVEIRO 1.6 MT CABINA SIMPLE</t>
  </si>
  <si>
    <t>NUEVO TIGUAN TSI AT COMFORTLINE 150HP</t>
  </si>
  <si>
    <t>GRIS PLATINO</t>
  </si>
  <si>
    <t>NUEVO TIGUAN TSI AT R-LINE 220HP 2.0</t>
  </si>
  <si>
    <t>BLANCO PURO</t>
  </si>
  <si>
    <t>RAMON MUÑOZ FERNANDEZ</t>
  </si>
  <si>
    <t>SAVEIRO 1.6 MT CABINA DOBLE  81 kW/110 CV</t>
  </si>
  <si>
    <t>PLATA SIRIUS</t>
  </si>
  <si>
    <t>T-Cross 1.0 TSI AT Highline - 85 kW/116 CV</t>
  </si>
  <si>
    <t>NUEVO ATLAS 2.0 TSI AT LIMITED 4MOTION</t>
  </si>
  <si>
    <t>POLO 1.0 TSI HIGHLINE AT</t>
  </si>
  <si>
    <t>Nivus 1.0 TSI AT Highline 85KW/116CV 5 p</t>
  </si>
  <si>
    <t>Gris Piedra de Luna</t>
  </si>
  <si>
    <t>ROJO METALICO</t>
  </si>
  <si>
    <t>Taos TSI AT Highline 110KW/150CV</t>
  </si>
  <si>
    <t>Saveiro 1.6 MT Cabina Simple Lite</t>
  </si>
  <si>
    <t>T-Cross 1.0 TSI AT Comfortline - 85 kW/116 CV</t>
  </si>
  <si>
    <t>PLATA PIRITA</t>
  </si>
  <si>
    <t>NUEVO TIGUAN TSI AT HIGHLINE 150HP</t>
  </si>
  <si>
    <t>Taos TSI AT Comfortline 110KW/150CV</t>
  </si>
  <si>
    <t>Nivus 1.0 TSI AT Comfortline 85KW/116CV 5 p</t>
  </si>
  <si>
    <t>CLAUDIO ROBLEZ GALAZ</t>
  </si>
  <si>
    <t>GRIS INDIO METALIZADO</t>
  </si>
  <si>
    <t>ANDES MOTOR</t>
  </si>
  <si>
    <t>Manuel Rodrigo Hurtado Melo</t>
  </si>
  <si>
    <t>JETOUR</t>
  </si>
  <si>
    <t>ROJO</t>
  </si>
  <si>
    <t>MAXUS</t>
  </si>
  <si>
    <t>T60 4X2 DX MT E6</t>
  </si>
  <si>
    <t>PLATA</t>
  </si>
  <si>
    <t>BLANCO</t>
  </si>
  <si>
    <t>TRIPLE C INTERNATIONAL SPA</t>
  </si>
  <si>
    <t>AN-24-12-0001</t>
  </si>
  <si>
    <t>LSFAM11A2SA041144</t>
  </si>
  <si>
    <t>Matias Larrain Larrain</t>
  </si>
  <si>
    <t>SERGIO POBLETE CAMPOS</t>
  </si>
  <si>
    <t>T60 4X2 GL AT E6</t>
  </si>
  <si>
    <t>KAIYI</t>
  </si>
  <si>
    <t>X70 1.5T MT LUX</t>
  </si>
  <si>
    <t>AZUL</t>
  </si>
  <si>
    <t>T2 2.0T GDI AWD 7DCT LIMITED</t>
  </si>
  <si>
    <t>NEGRO</t>
  </si>
  <si>
    <t>GRIS</t>
  </si>
  <si>
    <t>T60 4X4 GLX AT E6</t>
  </si>
  <si>
    <t>USADOS</t>
  </si>
  <si>
    <t>NUEVO GOL HIGHLINE 1.6</t>
  </si>
  <si>
    <t>Marcos Ignacio Campos Zavala</t>
  </si>
  <si>
    <t>BEIGE ARENA</t>
  </si>
  <si>
    <t>FORD</t>
  </si>
  <si>
    <t>TOYOTA</t>
  </si>
  <si>
    <t>RODRIGO MONTANER CABEZON</t>
  </si>
  <si>
    <t>ORTUZAR SPA</t>
  </si>
  <si>
    <t>MAZDA</t>
  </si>
  <si>
    <t>2.0 R AT</t>
  </si>
  <si>
    <t>CHEVROLET</t>
  </si>
  <si>
    <t>GRAFITO OSCURO</t>
  </si>
  <si>
    <t>D60 4X2 LUX AT 7P</t>
  </si>
  <si>
    <t>GOL G5 TRENDLINE 1.6</t>
  </si>
  <si>
    <t>SOCIEDAD COMERCIAL ELECTROPOWER S.A.</t>
  </si>
  <si>
    <t>AN-24-10-0032</t>
  </si>
  <si>
    <t>9BWKL45U2SP015005</t>
  </si>
  <si>
    <t>INTELCLIMA LIMITADA</t>
  </si>
  <si>
    <t>Saveiro 1.6 MT Cabina Doble Lite</t>
  </si>
  <si>
    <t>AN-24-10-0057</t>
  </si>
  <si>
    <t>9BWJL45U7SP006599</t>
  </si>
  <si>
    <t>PILAR DEL CARMEN RODRIGUEZ PEREZ</t>
  </si>
  <si>
    <t>AN-25-01-0010</t>
  </si>
  <si>
    <t>3VVHP65N9RM207455</t>
  </si>
  <si>
    <t>LIQUI MOLY CHILE S.A</t>
  </si>
  <si>
    <t>AN-24-06-0030</t>
  </si>
  <si>
    <t>9BWJL45U1SP003018</t>
  </si>
  <si>
    <t>TERESA INES DE LA CRUZ MILLAN KLUSSE</t>
  </si>
  <si>
    <t>VIRTUS 1.0 TSI COMFORTLINE AT</t>
  </si>
  <si>
    <t>AN-23-12-0036</t>
  </si>
  <si>
    <t>9BWDH6BZ4RP012042</t>
  </si>
  <si>
    <t>LUIS ALEJANDRO REINOSO MEDINELLI</t>
  </si>
  <si>
    <t>AZUL NORUEGA</t>
  </si>
  <si>
    <t>AN-24-08-0075</t>
  </si>
  <si>
    <t>9BWBH6BF0S4003522</t>
  </si>
  <si>
    <t>RAIMUNDO GAZITUA SAAVEDRA</t>
  </si>
  <si>
    <t>NICOLLE CARLA CASAGRANDE ARO</t>
  </si>
  <si>
    <t>T-Cross 1.0 TSI AT Highline Sport - 85 kW/116 CV</t>
  </si>
  <si>
    <t>Gris Ascot/Negro</t>
  </si>
  <si>
    <t>AN-25-01-0002</t>
  </si>
  <si>
    <t>9BWBH6BF6S4051090</t>
  </si>
  <si>
    <t>JENNY PAOLA LLEWELLYN ROVEGNO</t>
  </si>
  <si>
    <t>AN-25-01-0003</t>
  </si>
  <si>
    <t>8AWBJ6B28RA828840</t>
  </si>
  <si>
    <t>NADIM HASAN MASRI CIOCCA</t>
  </si>
  <si>
    <t>AN-24-10-0012</t>
  </si>
  <si>
    <t>9BWCH6CH5RP054012</t>
  </si>
  <si>
    <t>DANDILION INSPECCION LIMITADA</t>
  </si>
  <si>
    <t>AN-24-11-0082</t>
  </si>
  <si>
    <t>9BWKL45UXSP007119</t>
  </si>
  <si>
    <t>AN-24-11-0060</t>
  </si>
  <si>
    <t>9BWKL45U9SP015874</t>
  </si>
  <si>
    <t>ANDREA BETSABE REQUENA ORTIZ</t>
  </si>
  <si>
    <t>Polo 1.6 MT Comfortline - 81 kW/101 CV</t>
  </si>
  <si>
    <t>AN-25-01-0004</t>
  </si>
  <si>
    <t>9BWAL5BZ5ST639230</t>
  </si>
  <si>
    <t>CONSULTORA Y GESTION DEXTRA LIMITADA</t>
  </si>
  <si>
    <t>AN-24-11-0062</t>
  </si>
  <si>
    <t>9BWKL45UXSP033087</t>
  </si>
  <si>
    <t>MARIA JOSE VIELMA ZANDOVAL</t>
  </si>
  <si>
    <t>AN-24-06-0015</t>
  </si>
  <si>
    <t>9BWAH5BZ8ST602190</t>
  </si>
  <si>
    <t>AN-24-11-0057</t>
  </si>
  <si>
    <t>9BWKL45U7SP024783</t>
  </si>
  <si>
    <t>DOBRA WALESKA LUSIC MORALES</t>
  </si>
  <si>
    <t>AN-24-12-0032</t>
  </si>
  <si>
    <t>9BWBH6BF0S4053238</t>
  </si>
  <si>
    <t>MAQUINARIAS FABIAN GALLARDO, E.I.R.L</t>
  </si>
  <si>
    <t>AN-24-11-0083</t>
  </si>
  <si>
    <t>9BWKL45U5SP024555</t>
  </si>
  <si>
    <t>PATRICIA EBEL FERNANDEZ</t>
  </si>
  <si>
    <t>AN-24-10-0051</t>
  </si>
  <si>
    <t>3VVDE65N8RM149262</t>
  </si>
  <si>
    <t>FRANCISCO JAVIER URETA ESTRADA</t>
  </si>
  <si>
    <t>AN-25-01-0011</t>
  </si>
  <si>
    <t>8AWBJ6B25RA840847</t>
  </si>
  <si>
    <t>MARIA DE LOS ANGELES RENARD MERINO</t>
  </si>
  <si>
    <t>AN-24-03-0040</t>
  </si>
  <si>
    <t>9BWCH6CH3PP006182</t>
  </si>
  <si>
    <t>ENRIQUE EDUARDO LATOJA OVIEDO</t>
  </si>
  <si>
    <t>AN-25-01-0008</t>
  </si>
  <si>
    <t>3VVHP65N7RM219894</t>
  </si>
  <si>
    <t>TRANSPORTES DONOSTIA LTDA</t>
  </si>
  <si>
    <t>AN-24-10-0077</t>
  </si>
  <si>
    <t>9BWJL45UXSP024658</t>
  </si>
  <si>
    <t>COMERCIAL OXIPROTEX LTDA.</t>
  </si>
  <si>
    <t>AN-24-11-0061</t>
  </si>
  <si>
    <t>9BWKL45UXSP031761</t>
  </si>
  <si>
    <t>MOISES ENRIQUE NUÑEZ ROMO</t>
  </si>
  <si>
    <t>AN-24-08-0078</t>
  </si>
  <si>
    <t>9BWBH6BF1S4003030</t>
  </si>
  <si>
    <t>AN-25-01-0028</t>
  </si>
  <si>
    <t>9BWKL45U3SP047879</t>
  </si>
  <si>
    <t>AN-25-01-0026</t>
  </si>
  <si>
    <t>9BWKL45U1SP048416</t>
  </si>
  <si>
    <t>RODRIGO ALFONSO HEREDIA PEÑA</t>
  </si>
  <si>
    <t>AN-24-12-0049</t>
  </si>
  <si>
    <t>9BWBH6BF6S4053356</t>
  </si>
  <si>
    <t>VANESSA INES MALDONADO ALARCON</t>
  </si>
  <si>
    <t>Nivus TSI MT Comfortline - 70 kW/95 CV</t>
  </si>
  <si>
    <t>AN-25-01-0013</t>
  </si>
  <si>
    <t>9BWCH6CHXRP079584</t>
  </si>
  <si>
    <t>JONNY KULKA FRAENKEL</t>
  </si>
  <si>
    <t>AN-24-10-0040</t>
  </si>
  <si>
    <t>9BWCH6CH5RP048825</t>
  </si>
  <si>
    <t>DANIEL JACK BROOKS BRAVO</t>
  </si>
  <si>
    <t>AN-25-01-0035</t>
  </si>
  <si>
    <t>9BWCH6CH8RP052805</t>
  </si>
  <si>
    <t>BERNARDITA MARIA SOLER LEON</t>
  </si>
  <si>
    <t>AN-24-12-0036</t>
  </si>
  <si>
    <t>9BWBH6BF2S4053564</t>
  </si>
  <si>
    <t>FRANCESCA MARIA DE LOURDES CALVANESE HUIDOBRO</t>
  </si>
  <si>
    <t>T-Cross 1.0 TSI MT Comfortline - 74 kW/101 CV</t>
  </si>
  <si>
    <t>AN-24-08-0072</t>
  </si>
  <si>
    <t>9BWBH6BF7S4004618</t>
  </si>
  <si>
    <t>NATALIE ANDREE BORDACHAR URRUTIA</t>
  </si>
  <si>
    <t>AN-24-10-0061</t>
  </si>
  <si>
    <t>8AWBJ6B26RA830005</t>
  </si>
  <si>
    <t>FRANCISCA ANDREA RIQUELME  FENNER</t>
  </si>
  <si>
    <t>AN-24-12-0042</t>
  </si>
  <si>
    <t>WVGZZZCA5RC601451</t>
  </si>
  <si>
    <t>ENNIO MAURICIO GRBAC NUÑEZ</t>
  </si>
  <si>
    <t>AN-24-09-0044</t>
  </si>
  <si>
    <t>LSKG4BC13SD040453</t>
  </si>
  <si>
    <t>MANUELA SOLEDAD SALAS CAMPOS</t>
  </si>
  <si>
    <t>GRIS ARENA</t>
  </si>
  <si>
    <t>AN-24-08-0067</t>
  </si>
  <si>
    <t>HJRPBGJBXSB200369</t>
  </si>
  <si>
    <t>HERWIN ROLANDO BAHAMONDES HENRIQUEZ</t>
  </si>
  <si>
    <t>AN-23-08-0059</t>
  </si>
  <si>
    <t>LVUDB11B8PF018233</t>
  </si>
  <si>
    <t>GLOBAL GROUP INGENIERIA SPA</t>
  </si>
  <si>
    <t>C35 L CARROCERÍA PLANA</t>
  </si>
  <si>
    <t>AN-24-12-0004</t>
  </si>
  <si>
    <t>LSH14B4C6PD900042</t>
  </si>
  <si>
    <t>SOCIEDAD DE PROFESIONALES ASESORIAS GARREAUD FERNANDEZ LIMITADA</t>
  </si>
  <si>
    <t>AN-25-01-0007</t>
  </si>
  <si>
    <t>LSFAM11A6SA041342</t>
  </si>
  <si>
    <t>ASCANIO OSORIO AVENDAÑO SER.ING.MEC.MOT.ASES.PINT.IND.Y GRALES .EIRL</t>
  </si>
  <si>
    <t>T60 4X2 GL MT E6</t>
  </si>
  <si>
    <t>AN-24-08-0083</t>
  </si>
  <si>
    <t>LSFAM11A4RA077914</t>
  </si>
  <si>
    <t>RUCO SPA</t>
  </si>
  <si>
    <t>T60 BLACK EDITION 4X4 GLX AT E6</t>
  </si>
  <si>
    <t>AN-25-01-0009</t>
  </si>
  <si>
    <t>LSFAM11A3PA075696</t>
  </si>
  <si>
    <t>DIEGO ALEJANDRO JIMENEZ SILVA</t>
  </si>
  <si>
    <t>KYE5 1.5T MT LUX</t>
  </si>
  <si>
    <t>AN-24-03-0009</t>
  </si>
  <si>
    <t>LUYJA1G22RA003056</t>
  </si>
  <si>
    <t>GERARDO ACHA ZUÑIGA</t>
  </si>
  <si>
    <t>X70 1.5T MT STD</t>
  </si>
  <si>
    <t>AN-24-07-0010</t>
  </si>
  <si>
    <t>LVUDB11B4PF009299</t>
  </si>
  <si>
    <t>PATAGONIA BIOTECNICNOLOGIA SPA</t>
  </si>
  <si>
    <t>AN-24-11-0035</t>
  </si>
  <si>
    <t>LSFAM11A5SA041445</t>
  </si>
  <si>
    <t>LION OPERATIONS SPA</t>
  </si>
  <si>
    <t>KARRY</t>
  </si>
  <si>
    <t>Q22 C.B. Cargo Box  1.5cc</t>
  </si>
  <si>
    <t>AN-25-01-0036</t>
  </si>
  <si>
    <t>LVM1A1A14NF048727</t>
  </si>
  <si>
    <t>MATIAS AGLIATI GARRIDO</t>
  </si>
  <si>
    <t>AN-25-01-0033</t>
  </si>
  <si>
    <t>HJRPBGJB1SB203855</t>
  </si>
  <si>
    <t>CAROLINA ALEJANDRA  DEL CARMEN PINTO VACKFLORES</t>
  </si>
  <si>
    <t>AU-24-12-0023</t>
  </si>
  <si>
    <t>9BWAB45U3NT095747</t>
  </si>
  <si>
    <t>FRANCISCO IGNACIO CONTRERAS VALENCIA</t>
  </si>
  <si>
    <t>GOLF HB SPORT 1.4   AT</t>
  </si>
  <si>
    <t>AU-24-11-0017</t>
  </si>
  <si>
    <t>3VW7B6AU4LM016875</t>
  </si>
  <si>
    <t>INMOBILIARIA NUEVA VIDA SPA</t>
  </si>
  <si>
    <t>MAZDA CX9 AT</t>
  </si>
  <si>
    <t>AU-24-11-0009</t>
  </si>
  <si>
    <t>JM7TC4WLAH0108006</t>
  </si>
  <si>
    <t>NICOLAS BUSTAMANTE OLMEDO</t>
  </si>
  <si>
    <t>GOL GP HB TRENDLINE 1.6</t>
  </si>
  <si>
    <t>AU-24-10-0016</t>
  </si>
  <si>
    <t>9BWAB45UOMT112292</t>
  </si>
  <si>
    <t>MARIA AMELIA ROBLES VIVANCO</t>
  </si>
  <si>
    <t>AU-24-10-0041</t>
  </si>
  <si>
    <t>9BWCH6CHXNP033859</t>
  </si>
  <si>
    <t>SEBASTIAN FRANCISCO PLAZA SALAS</t>
  </si>
  <si>
    <t>NUEVO JETTA 2.0 TSI AT GLI</t>
  </si>
  <si>
    <t>GRIS PURO</t>
  </si>
  <si>
    <t>AU-24-10-0018</t>
  </si>
  <si>
    <t>3VW2E6BU7RM073645</t>
  </si>
  <si>
    <t>SEBASTIAN BROWNE URREJOLA</t>
  </si>
  <si>
    <t>ATLAS COMFORTLINE 3.6 V6 4 MOTION</t>
  </si>
  <si>
    <t>AU-24-10-0034</t>
  </si>
  <si>
    <t>IV2LR2CA4KC512881</t>
  </si>
  <si>
    <t>JAIME CHRISTIAN GRANTT CACERES</t>
  </si>
  <si>
    <t>1.5 T PREMIER</t>
  </si>
  <si>
    <t>AU-24-10-0032</t>
  </si>
  <si>
    <t>LZWADAGA9PF003559</t>
  </si>
  <si>
    <t>CRISTIAN ALEJANDRO PARDO SOTO</t>
  </si>
  <si>
    <t>AU-24-12-0024</t>
  </si>
  <si>
    <t>9BWAB45U9NT088282</t>
  </si>
  <si>
    <t>GRIS OSCURO</t>
  </si>
  <si>
    <t>AU-25-01-0010</t>
  </si>
  <si>
    <t>JM8KE2W77D0141729</t>
  </si>
  <si>
    <t>RICHARD ANTONY SEBASTIAN SOTO SANDOVAL</t>
  </si>
  <si>
    <t>SUZUKI</t>
  </si>
  <si>
    <t>HB 1.4 AT</t>
  </si>
  <si>
    <t>AU-24-12-0009</t>
  </si>
  <si>
    <t>MBHWB52S4PG840374</t>
  </si>
  <si>
    <t>MARIA AIDA GONZALEZ PIMENTEL</t>
  </si>
  <si>
    <t>AU-24-12-0018</t>
  </si>
  <si>
    <t>3VVTP65N7NM109254</t>
  </si>
  <si>
    <t>JACQUES WALDEMAR DE HEECKEREN GILDEMEISTER</t>
  </si>
  <si>
    <t>AU-24-11-0006</t>
  </si>
  <si>
    <t>9BWKB45U6MP038244</t>
  </si>
  <si>
    <t>ALEJANDRO EDUARDO DONOSO TORRES</t>
  </si>
  <si>
    <t>NIVUS 1.0 TSI AT HIGHLINE HERO</t>
  </si>
  <si>
    <t>AU-24-12-0025</t>
  </si>
  <si>
    <t>9BWCH6CH0NP005357</t>
  </si>
  <si>
    <t>MARIA JOSE MONTECINOS ESPINOZA</t>
  </si>
  <si>
    <t>AU-25-01-0008</t>
  </si>
  <si>
    <t>9BWCH6CH5PP005986</t>
  </si>
  <si>
    <t>PATRICIA ANDREA CANCINO MORENO</t>
  </si>
  <si>
    <t>AU-24-12-0027</t>
  </si>
  <si>
    <t>9BWCH6CH0NP005231</t>
  </si>
  <si>
    <t>NATALIA ELIZABETH PAREDES FLORES</t>
  </si>
  <si>
    <t>MITSUBISHI</t>
  </si>
  <si>
    <t>CROSS RX 1.5T AT</t>
  </si>
  <si>
    <t>AU-24-11-0002</t>
  </si>
  <si>
    <t>JMYXTGK1WKZ000444</t>
  </si>
  <si>
    <t>MAX DOLLMANN DEL SANTE</t>
  </si>
  <si>
    <t>SWIFT GLX HB 1.2</t>
  </si>
  <si>
    <t>AU-24-12-0028</t>
  </si>
  <si>
    <t>JS2ZC13S5N6400051</t>
  </si>
  <si>
    <t>MARISOL PATRICIA GALLEGUILLOS BERINDOAGUE</t>
  </si>
  <si>
    <t>Nuevo T-Cross TSI MT Comfortline - 70 kW/95 CV</t>
  </si>
  <si>
    <t>AU-25-01-0005</t>
  </si>
  <si>
    <t>9BWBL6BF6L4060467</t>
  </si>
  <si>
    <t>JUAN SEBASTIAN GALLARDO MARDONES</t>
  </si>
  <si>
    <t>NUEVO T-CROSS COMFORTLINE 1.6L MT 110HP</t>
  </si>
  <si>
    <t>AU-24-12-0010</t>
  </si>
  <si>
    <t>9BWBL6BF4L4057115</t>
  </si>
  <si>
    <t>Rodrigo Andres Valenzuela Acevedo</t>
  </si>
  <si>
    <t>NUEVO JETTA 1.4 TSI AT COMFORTLINE SKY</t>
  </si>
  <si>
    <t>AU-24-10-0021</t>
  </si>
  <si>
    <t>3VWLP6BU3RM101844</t>
  </si>
  <si>
    <t>BENJAMIN FLOREZ LABRA</t>
  </si>
  <si>
    <t>XLI 1.3</t>
  </si>
  <si>
    <t>AU-25-01-0017</t>
  </si>
  <si>
    <t>JTDJW9D35DD531768</t>
  </si>
  <si>
    <t>JOSE MIGUEL DROGUET FREDES</t>
  </si>
  <si>
    <t>ESCAPE SE 2.0L ECOBOOST 4X2 AT</t>
  </si>
  <si>
    <t>AU-24-12-0026</t>
  </si>
  <si>
    <t>WF0AXXWPMAFC58745</t>
  </si>
  <si>
    <t>MIGUEL ANGEL QUEZADA OLIVARES</t>
  </si>
  <si>
    <t>SAVEIRO POWER PLUS 1.6</t>
  </si>
  <si>
    <t>AU-24-11-0021</t>
  </si>
  <si>
    <t>9BWKB45U7JP088596</t>
  </si>
  <si>
    <t>ERICK MATIAS LIZANA CALDERON</t>
  </si>
  <si>
    <t>HYUNDAI</t>
  </si>
  <si>
    <t>I 10</t>
  </si>
  <si>
    <t>AU-25-01-0013</t>
  </si>
  <si>
    <t>MALB251CARM531718</t>
  </si>
  <si>
    <t>BORA</t>
  </si>
  <si>
    <t>BLANCO LASER</t>
  </si>
  <si>
    <t>AU-25-01-0015</t>
  </si>
  <si>
    <t>3VWYV49M5AM044685</t>
  </si>
  <si>
    <t>CHANGAN</t>
  </si>
  <si>
    <t>LUXURY</t>
  </si>
  <si>
    <t>AU-25-01-0012</t>
  </si>
  <si>
    <t>LS5A3DBE3FA955810</t>
  </si>
  <si>
    <t>LUDWING CESAR GUTIERREZ SUAREZ</t>
  </si>
  <si>
    <t>AU-24-12-0021</t>
  </si>
  <si>
    <t>9BWKB45U5JP102012</t>
  </si>
  <si>
    <t>SUBARU</t>
  </si>
  <si>
    <t>XV LTD AWD 2.0I AUT</t>
  </si>
  <si>
    <t>AU-25-01-0023</t>
  </si>
  <si>
    <t>JF1GP7LC5DG075025</t>
  </si>
  <si>
    <t>CARLOS FEDERICO ROMERO JARA</t>
  </si>
  <si>
    <t>MG</t>
  </si>
  <si>
    <t>ZS  1.5</t>
  </si>
  <si>
    <t>AU-25-01-0004</t>
  </si>
  <si>
    <t>LSJW74U99NZ022666</t>
  </si>
  <si>
    <t>JAVIER ERNESTO FLORES HAAARDT</t>
  </si>
  <si>
    <t>TOUAREG  4.2   V8  AUT</t>
  </si>
  <si>
    <t>AU-25-01-0011</t>
  </si>
  <si>
    <t>WVGZZZ7PZGD024021</t>
  </si>
  <si>
    <t>Fecha Venta</t>
  </si>
  <si>
    <t>Folio Venta</t>
  </si>
  <si>
    <t>Rut</t>
  </si>
  <si>
    <t>Digito</t>
  </si>
  <si>
    <t>Dirección</t>
  </si>
  <si>
    <t>Teléfono Fijo</t>
  </si>
  <si>
    <t>Teléfono Móvil</t>
  </si>
  <si>
    <t>Teléfono Comercial</t>
  </si>
  <si>
    <t>Comuna</t>
  </si>
  <si>
    <t>Fecha Nacimiento</t>
  </si>
  <si>
    <t>E-mail</t>
  </si>
  <si>
    <t>Placa Patente</t>
  </si>
  <si>
    <t>Tipo Vehículo</t>
  </si>
  <si>
    <t>Modelo</t>
  </si>
  <si>
    <t>Versión</t>
  </si>
  <si>
    <t>Codigo Version</t>
  </si>
  <si>
    <t>Color</t>
  </si>
  <si>
    <t>Código Interno</t>
  </si>
  <si>
    <t>Numero Chasis</t>
  </si>
  <si>
    <t>Numero VIN</t>
  </si>
  <si>
    <t>Numero Serie</t>
  </si>
  <si>
    <t>Condición</t>
  </si>
  <si>
    <t>Año</t>
  </si>
  <si>
    <t>Estado Venta</t>
  </si>
  <si>
    <t>Folio Facturación</t>
  </si>
  <si>
    <t>Fecha Facturación</t>
  </si>
  <si>
    <t>Tipo Documento</t>
  </si>
  <si>
    <t>Documento</t>
  </si>
  <si>
    <t>Precio Compra</t>
  </si>
  <si>
    <t>Vencimiento Factura</t>
  </si>
  <si>
    <t>Vendedor Cotización</t>
  </si>
  <si>
    <t>Folio</t>
  </si>
  <si>
    <t>Medio Contacto</t>
  </si>
  <si>
    <t>Vencimiento Documento</t>
  </si>
  <si>
    <t>Tipo Venta</t>
  </si>
  <si>
    <t>Moneda Venta</t>
  </si>
  <si>
    <t>Patente Pago</t>
  </si>
  <si>
    <t>Días Stock</t>
  </si>
  <si>
    <t>Precio Lista</t>
  </si>
  <si>
    <t>Bono Lista Precio</t>
  </si>
  <si>
    <t>Descuento Unidad</t>
  </si>
  <si>
    <t>Unidad Venta</t>
  </si>
  <si>
    <t>Unidad Costo</t>
  </si>
  <si>
    <t>Unidad Margen</t>
  </si>
  <si>
    <t>%</t>
  </si>
  <si>
    <t>Tramites Descuento/Recargo</t>
  </si>
  <si>
    <t>Tramites Venta</t>
  </si>
  <si>
    <t>Tramites Costo</t>
  </si>
  <si>
    <t>Tramites Margen</t>
  </si>
  <si>
    <t>%1</t>
  </si>
  <si>
    <t>Accesorios Descuento/Recargo</t>
  </si>
  <si>
    <t>Accesorios Venta</t>
  </si>
  <si>
    <t>Accesorios Costo</t>
  </si>
  <si>
    <t>Accesorios Margen</t>
  </si>
  <si>
    <t>%2</t>
  </si>
  <si>
    <t>Contratos DR ML</t>
  </si>
  <si>
    <t>Contratos Sub Total ML</t>
  </si>
  <si>
    <t>Contratos Costo ML</t>
  </si>
  <si>
    <t>Contratos Margen ML</t>
  </si>
  <si>
    <t>Contratos Margen Pje</t>
  </si>
  <si>
    <t>Total Lista Precio</t>
  </si>
  <si>
    <t>SubTotal Venta</t>
  </si>
  <si>
    <t>SubTotal Costo</t>
  </si>
  <si>
    <t>SubTotal Margen + Crédito + Seguro</t>
  </si>
  <si>
    <t>%3</t>
  </si>
  <si>
    <t>Margen Sin Intereses</t>
  </si>
  <si>
    <t>Sub Total Margen ML Sin Inter~s Pje</t>
  </si>
  <si>
    <t>Total Interés</t>
  </si>
  <si>
    <t>Total Retoma</t>
  </si>
  <si>
    <t>Total Abono</t>
  </si>
  <si>
    <t>Total Saldo</t>
  </si>
  <si>
    <t>Total Venta Trámite</t>
  </si>
  <si>
    <t>Total Venta Accesorios</t>
  </si>
  <si>
    <t>Total Venta</t>
  </si>
  <si>
    <t>Venta Sin Creditos Y Seguros</t>
  </si>
  <si>
    <t>Margen de Venta</t>
  </si>
  <si>
    <t>Pje. Margen de Venta</t>
  </si>
  <si>
    <t>Entidad Crédito</t>
  </si>
  <si>
    <t>Margen Crédito</t>
  </si>
  <si>
    <t>Entidad Seguro</t>
  </si>
  <si>
    <t>Margen Seguro</t>
  </si>
  <si>
    <t>Bono</t>
  </si>
  <si>
    <t>Gasto</t>
  </si>
  <si>
    <t>Nacionalidad</t>
  </si>
  <si>
    <t>02-01-2025 12:13:45</t>
  </si>
  <si>
    <t>3</t>
  </si>
  <si>
    <t>MARCEL DUHAUT 2977 DPTO 501</t>
  </si>
  <si>
    <t>988993993</t>
  </si>
  <si>
    <t/>
  </si>
  <si>
    <t>PROVIDENCIA</t>
  </si>
  <si>
    <t>10/08/1967</t>
  </si>
  <si>
    <t>areinoso@uc.cl</t>
  </si>
  <si>
    <t>STATION WAGON</t>
  </si>
  <si>
    <t>T CROSS</t>
  </si>
  <si>
    <t>BF33K311</t>
  </si>
  <si>
    <t>NUEVO Y SIN USO</t>
  </si>
  <si>
    <t>Facturada</t>
  </si>
  <si>
    <t>09-01-2025 0:00:00</t>
  </si>
  <si>
    <t xml:space="preserve">Guía de Despacho: 1 - Factura Electrónica: 1838074 </t>
  </si>
  <si>
    <t>SALON</t>
  </si>
  <si>
    <t>RETAIL</t>
  </si>
  <si>
    <t>Peso</t>
  </si>
  <si>
    <t>-5.37 %</t>
  </si>
  <si>
    <t>0 %</t>
  </si>
  <si>
    <t>-5.08 %</t>
  </si>
  <si>
    <t>02-01-2025 18:09:17</t>
  </si>
  <si>
    <t>K</t>
  </si>
  <si>
    <t>TIAHUANACO 1077 DPTO 408B</t>
  </si>
  <si>
    <t>996998621</t>
  </si>
  <si>
    <t>VITACURA</t>
  </si>
  <si>
    <t>01/12/2024</t>
  </si>
  <si>
    <t>NICOLLECASAGRANDE@YAHOO.ES</t>
  </si>
  <si>
    <t>BF34K312</t>
  </si>
  <si>
    <t>08-01-2025 0:00:00</t>
  </si>
  <si>
    <t xml:space="preserve">Guía de Despacho: 1 - Factura Electrónica: 1842454 </t>
  </si>
  <si>
    <t>07-02-2025 0:00:00</t>
  </si>
  <si>
    <t>[OTRO]</t>
  </si>
  <si>
    <t>-12.01 %</t>
  </si>
  <si>
    <t>-11.36 %</t>
  </si>
  <si>
    <t>06-01-2025 11:01:03</t>
  </si>
  <si>
    <t>6</t>
  </si>
  <si>
    <t>DOCTOR ROBERTO DEL RIO 1771 DPTO 401</t>
  </si>
  <si>
    <t>997991954</t>
  </si>
  <si>
    <t>07/05/1972</t>
  </si>
  <si>
    <t>jenny.llewelyn@gmail.com</t>
  </si>
  <si>
    <t>STATION WAGON 01</t>
  </si>
  <si>
    <t>FAMILIA 1</t>
  </si>
  <si>
    <t>CQ17LY11</t>
  </si>
  <si>
    <t>06-01-2025 0:00:00</t>
  </si>
  <si>
    <t xml:space="preserve">Guía de Despacho: 1 - Factura Electrónica: 1842389 </t>
  </si>
  <si>
    <t>JVGP11</t>
  </si>
  <si>
    <t>-13.33 %</t>
  </si>
  <si>
    <t>-12.59 %</t>
  </si>
  <si>
    <t>06-01-2025 16:34:36</t>
  </si>
  <si>
    <t>SIMON BOLIVAR 6242 PARCELA LOTE H EL NOVICIADO</t>
  </si>
  <si>
    <t>956578629</t>
  </si>
  <si>
    <t>PUDAHUEL</t>
  </si>
  <si>
    <t>01/01/1900</t>
  </si>
  <si>
    <t>NADIM.MASRI@BICE.CL</t>
  </si>
  <si>
    <t>CH13K316</t>
  </si>
  <si>
    <t>10-01-2025 0:00:00</t>
  </si>
  <si>
    <t xml:space="preserve">Guía de Despacho: 0 - Factura Electrónica: 1839314 - Nota de Crédito Electrónica: 3061669 </t>
  </si>
  <si>
    <t>09-02-2025 0:00:00</t>
  </si>
  <si>
    <t>CC</t>
  </si>
  <si>
    <t>2.44 %</t>
  </si>
  <si>
    <t>2.29 %</t>
  </si>
  <si>
    <t>07-01-2025 10:13:45</t>
  </si>
  <si>
    <t>4</t>
  </si>
  <si>
    <t>LAREDO 8357 OF 21</t>
  </si>
  <si>
    <t>954061070</t>
  </si>
  <si>
    <t>LAS CONDES</t>
  </si>
  <si>
    <t>eruz@dandilion.cl</t>
  </si>
  <si>
    <t>CAMIONETA</t>
  </si>
  <si>
    <t>SAVEIRO</t>
  </si>
  <si>
    <t>5URTT412</t>
  </si>
  <si>
    <t>14-01-2025 0:00:00</t>
  </si>
  <si>
    <t xml:space="preserve">Guía de Despacho: 1 - Factura Electrónica: 1840728 - Nota de Crédito Electrónica: 3062075 </t>
  </si>
  <si>
    <t>1.5 %</t>
  </si>
  <si>
    <t>1.44 %</t>
  </si>
  <si>
    <t>07-01-2025 10:15:54</t>
  </si>
  <si>
    <t xml:space="preserve">Guía de Despacho: 1 - Factura Electrónica: 1840658 - Nota de Crédito Electrónica: 3062073 </t>
  </si>
  <si>
    <t>FLOTA</t>
  </si>
  <si>
    <t>9.07 %</t>
  </si>
  <si>
    <t>8.76 %</t>
  </si>
  <si>
    <t>07-01-2025 11:16:30</t>
  </si>
  <si>
    <t>1</t>
  </si>
  <si>
    <t>PASAJE SANTA RAQUEL 0501</t>
  </si>
  <si>
    <t>976670831</t>
  </si>
  <si>
    <t>PUENTE ALTO</t>
  </si>
  <si>
    <t>19/02/1991</t>
  </si>
  <si>
    <t>requenaortiz@gmail.com</t>
  </si>
  <si>
    <t>AUTOMOVIL</t>
  </si>
  <si>
    <t>POLO</t>
  </si>
  <si>
    <t>782024</t>
  </si>
  <si>
    <t xml:space="preserve">Guía de Despacho: 1 - Factura Electrónica: 1842500 </t>
  </si>
  <si>
    <t>08-02-2025 0:00:00</t>
  </si>
  <si>
    <t>-13.39 %</t>
  </si>
  <si>
    <t>-12.77 %</t>
  </si>
  <si>
    <t>08-01-2025 11:12:40</t>
  </si>
  <si>
    <t>BADAJOZ 100 OF 1003 PISO 10</t>
  </si>
  <si>
    <t>977092999</t>
  </si>
  <si>
    <t>roberto.alvarez@dextraltda.cl</t>
  </si>
  <si>
    <t>13-01-2025 0:00:00</t>
  </si>
  <si>
    <t xml:space="preserve">Guía de Despacho: 1 - Factura Electrónica: 1840743 - Nota de Crédito Electrónica: 3062485 </t>
  </si>
  <si>
    <t>12-02-2025 0:00:00</t>
  </si>
  <si>
    <t>-0.22 %</t>
  </si>
  <si>
    <t>-0.21 %</t>
  </si>
  <si>
    <t>08-01-2025 13:23:44</t>
  </si>
  <si>
    <t>CAMINO LAS CUMBRE 6838 CASA 36</t>
  </si>
  <si>
    <t>950270639</t>
  </si>
  <si>
    <t>LA FLORIDA</t>
  </si>
  <si>
    <t>02/03/2000</t>
  </si>
  <si>
    <t>ALAN.MARTINEZ.ANTIL@GMAIL.COM</t>
  </si>
  <si>
    <t>BZ33D311</t>
  </si>
  <si>
    <t xml:space="preserve">Guía de Despacho: 1 - Factura Electrónica: 1790936 </t>
  </si>
  <si>
    <t>AMIGO</t>
  </si>
  <si>
    <t>-11.54 %</t>
  </si>
  <si>
    <t>-11.12 %</t>
  </si>
  <si>
    <t>08-01-2025 15:37:55</t>
  </si>
  <si>
    <t>8</t>
  </si>
  <si>
    <t>CARRETERA GENERAL SAN MARTIN 8250 BODEGA 29B</t>
  </si>
  <si>
    <t>998185621</t>
  </si>
  <si>
    <t>QUILICURA</t>
  </si>
  <si>
    <t>cosorio@electropower.cl</t>
  </si>
  <si>
    <t xml:space="preserve">Guía de Despacho: 1 - Factura Electrónica: 1840741 - Nota de Crédito Electrónica: 3062484 </t>
  </si>
  <si>
    <t>SITIO WEB</t>
  </si>
  <si>
    <t>-2.15 %</t>
  </si>
  <si>
    <t>-2.07 %</t>
  </si>
  <si>
    <t>09-01-2025 15:45:12</t>
  </si>
  <si>
    <t>GENERAL JOFRE 202 DPTO 507</t>
  </si>
  <si>
    <t>957148023</t>
  </si>
  <si>
    <t>SANTIAGO</t>
  </si>
  <si>
    <t>02/03/1988</t>
  </si>
  <si>
    <t>dobralusic@gmail.com</t>
  </si>
  <si>
    <t>BF34K311</t>
  </si>
  <si>
    <t xml:space="preserve">Guía de Despacho: 1 - Factura Electrónica: 1841780 </t>
  </si>
  <si>
    <t>-4.3 %</t>
  </si>
  <si>
    <t>-4.06 %</t>
  </si>
  <si>
    <t>09-01-2025 17:40:31</t>
  </si>
  <si>
    <t>COSTANERA DEL ESTRECHO 01934 EL GOLF</t>
  </si>
  <si>
    <t>56977082136</t>
  </si>
  <si>
    <t>PUNTA ARENAS</t>
  </si>
  <si>
    <t>Fgallardo@fgmaq.cl</t>
  </si>
  <si>
    <t>5URTT413</t>
  </si>
  <si>
    <t>22-01-2025 0:00:00</t>
  </si>
  <si>
    <t xml:space="preserve">Guía de Despacho: 1 - Factura Electrónica: 1840962 - Nota de Crédito Electrónica: 3062488 </t>
  </si>
  <si>
    <t>21-02-2025 0:00:00</t>
  </si>
  <si>
    <t>WEB CONCESIONARIO</t>
  </si>
  <si>
    <t>CI</t>
  </si>
  <si>
    <t>3.46 %</t>
  </si>
  <si>
    <t>3.36 %</t>
  </si>
  <si>
    <t>10-01-2025 11:50:25</t>
  </si>
  <si>
    <t>COSTANERA SUR 12033 DPTO 504</t>
  </si>
  <si>
    <t>968477239</t>
  </si>
  <si>
    <t>19/11/1969</t>
  </si>
  <si>
    <t>pebelf@gmail.com</t>
  </si>
  <si>
    <t>BJ25TT11</t>
  </si>
  <si>
    <t xml:space="preserve">Guía de Despacho: 1 - Factura Electrónica: 1839727 - Nota de Crédito Electrónica: 3062523 </t>
  </si>
  <si>
    <t>JBPP80</t>
  </si>
  <si>
    <t>12.08 %</t>
  </si>
  <si>
    <t>11.3 %</t>
  </si>
  <si>
    <t>10-01-2025 15:46:14</t>
  </si>
  <si>
    <t>LAS VERBENAS 8485 DEPTO 713 B</t>
  </si>
  <si>
    <t>984295679</t>
  </si>
  <si>
    <t>28/05/1990</t>
  </si>
  <si>
    <t>F.URETA.ES@GMAIL.COM</t>
  </si>
  <si>
    <t>Parcial Facturada</t>
  </si>
  <si>
    <t>24-01-2025 0:00:00</t>
  </si>
  <si>
    <t xml:space="preserve">Guía de Despacho: 1 - Factura Electrónica: 1864513 </t>
  </si>
  <si>
    <t>23-02-2025 0:00:00</t>
  </si>
  <si>
    <t>SZRZ28</t>
  </si>
  <si>
    <t>-12.54 %</t>
  </si>
  <si>
    <t>-10.31 %</t>
  </si>
  <si>
    <t>11-01-2025 11:47:26</t>
  </si>
  <si>
    <t>7</t>
  </si>
  <si>
    <t>GENERAL  BLANCHE 10226</t>
  </si>
  <si>
    <t>998273729</t>
  </si>
  <si>
    <t>MRENARD@YUKEN.CL</t>
  </si>
  <si>
    <t>CH13K311</t>
  </si>
  <si>
    <t xml:space="preserve">Guía de Despacho Electrónica: 1 - Factura Electrónica: 1788757 - Nota de Crédito Electrónica: 3058060 </t>
  </si>
  <si>
    <t>-16.81 %</t>
  </si>
  <si>
    <t>-16.21 %</t>
  </si>
  <si>
    <t>13-01-2025 10:23:49</t>
  </si>
  <si>
    <t>JANUARIO ESPINOZA 7205-A</t>
  </si>
  <si>
    <t>998213308</t>
  </si>
  <si>
    <t>LA REINA</t>
  </si>
  <si>
    <t>11/06/1959</t>
  </si>
  <si>
    <t>elatoja@entel.cl</t>
  </si>
  <si>
    <t>BJ23N611</t>
  </si>
  <si>
    <t xml:space="preserve">Guía de Despacho: 1 - Factura Electrónica: 1864398 </t>
  </si>
  <si>
    <t>-5.42 %</t>
  </si>
  <si>
    <t>-5.07 %</t>
  </si>
  <si>
    <t>13-01-2025 11:54:42</t>
  </si>
  <si>
    <t>0</t>
  </si>
  <si>
    <t>DUBLE ALMEYDA 2776</t>
  </si>
  <si>
    <t>999055263</t>
  </si>
  <si>
    <t>ÑUÑOA</t>
  </si>
  <si>
    <t>caropintov@gmail.com</t>
  </si>
  <si>
    <t>RWJK91</t>
  </si>
  <si>
    <t xml:space="preserve">GOL </t>
  </si>
  <si>
    <t>5U7HF411</t>
  </si>
  <si>
    <t>CONSIGNACION USADO (Propio)</t>
  </si>
  <si>
    <t xml:space="preserve">Contrato: 142 </t>
  </si>
  <si>
    <t>JLRY79</t>
  </si>
  <si>
    <t>8.59 %</t>
  </si>
  <si>
    <t>8.29 %</t>
  </si>
  <si>
    <t>13-01-2025 12:49:30</t>
  </si>
  <si>
    <t>PJE BARTOLOME MURILLO 141</t>
  </si>
  <si>
    <t>988067175</t>
  </si>
  <si>
    <t>ESTACION CENTRAL</t>
  </si>
  <si>
    <t>01/07/1954</t>
  </si>
  <si>
    <t>FCONTRERAS@ENVACESCARRILLO.CL</t>
  </si>
  <si>
    <t>PDSP73</t>
  </si>
  <si>
    <t>GOLF</t>
  </si>
  <si>
    <t>10--HBSPORT</t>
  </si>
  <si>
    <t>31-01-2025 0:00:00</t>
  </si>
  <si>
    <t xml:space="preserve">Contrato: 141 </t>
  </si>
  <si>
    <t>2.89 %</t>
  </si>
  <si>
    <t>2.82 %</t>
  </si>
  <si>
    <t>13-01-2025 17:13:25</t>
  </si>
  <si>
    <t>LOS OLIVOS 1253, PARQUE IND. ENEA, PUDAHUEL</t>
  </si>
  <si>
    <t>998175879</t>
  </si>
  <si>
    <t>12/11/2000</t>
  </si>
  <si>
    <t>fernanda.iturriaga@proingas.cl</t>
  </si>
  <si>
    <t>5UKWT412</t>
  </si>
  <si>
    <t xml:space="preserve">Guía de Despacho: 1 - Factura Electrónica: 1840268 - Nota de Crédito Electrónica: 3062528 </t>
  </si>
  <si>
    <t>13.96 %</t>
  </si>
  <si>
    <t>13.49 %</t>
  </si>
  <si>
    <t>14-01-2025 14:19:05</t>
  </si>
  <si>
    <t>FCO. BILBAO 1860 3 301</t>
  </si>
  <si>
    <t>64 2644300</t>
  </si>
  <si>
    <t>OSORNO</t>
  </si>
  <si>
    <t>01/01/2000</t>
  </si>
  <si>
    <t>ABASTECIMIENTO@INTEGRA-CHILE.CL</t>
  </si>
  <si>
    <t>29-01-2025 0:00:00</t>
  </si>
  <si>
    <t xml:space="preserve">Guía de Despacho: 1 - Factura Electrónica: 1840823 - Nota de Crédito Electrónica: 3062529 </t>
  </si>
  <si>
    <t>28-02-2025 0:00:00</t>
  </si>
  <si>
    <t>13.64 %</t>
  </si>
  <si>
    <t>14-01-2025 18:10:14</t>
  </si>
  <si>
    <t>REVERENDO FRANCISCO ANABALON ROSALES 131</t>
  </si>
  <si>
    <t>972162219</t>
  </si>
  <si>
    <t>MAIPU</t>
  </si>
  <si>
    <t>MNUNEZROMO@GMAIL.COM</t>
  </si>
  <si>
    <t>16-01-2025 0:00:00</t>
  </si>
  <si>
    <t xml:space="preserve">Guía de Despacho: 1 - Factura Electrónica: 1838075 </t>
  </si>
  <si>
    <t>15-02-2025 0:00:00</t>
  </si>
  <si>
    <t>-14.65 %</t>
  </si>
  <si>
    <t>-13.93 %</t>
  </si>
  <si>
    <t>15-01-2025 12:52:36</t>
  </si>
  <si>
    <t>AVDA LUIS PASTEUR 5626 DEPTO 402</t>
  </si>
  <si>
    <t>982594676</t>
  </si>
  <si>
    <t>09/01/1959</t>
  </si>
  <si>
    <t>pirope@gmail.com</t>
  </si>
  <si>
    <t>17-01-2025 0:00:00</t>
  </si>
  <si>
    <t xml:space="preserve">Guía de Despacho: 1 - Factura Electrónica: 1864440 </t>
  </si>
  <si>
    <t>-4.18 %</t>
  </si>
  <si>
    <t>-3.91 %</t>
  </si>
  <si>
    <t>16-01-2025 10:16:04</t>
  </si>
  <si>
    <t>5</t>
  </si>
  <si>
    <t>ELIODORO YAÑEZ  1727</t>
  </si>
  <si>
    <t>984188185</t>
  </si>
  <si>
    <t>info@liqui-moly.cl</t>
  </si>
  <si>
    <t>5UKWT413</t>
  </si>
  <si>
    <t xml:space="preserve">Guía de Despacho: 1 - Factura Electrónica: 1791013 - Nota de Crédito Electrónica: 3060477 - Nota de Crédito Electrónica: 3060548 </t>
  </si>
  <si>
    <t>8.6 %</t>
  </si>
  <si>
    <t>17-01-2025 14:40:20</t>
  </si>
  <si>
    <t>SANTA RITA 498</t>
  </si>
  <si>
    <t>3565136/091318341</t>
  </si>
  <si>
    <t>07/04/1951</t>
  </si>
  <si>
    <t>tmillan@med.uchile.cl</t>
  </si>
  <si>
    <t>VIRTUS</t>
  </si>
  <si>
    <t>BZ43D311</t>
  </si>
  <si>
    <t>20-01-2025 0:00:00</t>
  </si>
  <si>
    <t xml:space="preserve">Guía de Despacho: 1 - Factura Electrónica: 1753763 </t>
  </si>
  <si>
    <t>CJFV96</t>
  </si>
  <si>
    <t>-25.81 %</t>
  </si>
  <si>
    <t>-25.1 %</t>
  </si>
  <si>
    <t>17-01-2025 17:31:36</t>
  </si>
  <si>
    <t>23-01-2025 0:00:00</t>
  </si>
  <si>
    <t xml:space="preserve">Guía de Despacho: 1 - Factura Electrónica: 1839691 - Nota de Crédito Electrónica: 3061194 - Nota de Débito Electrónica: 3906658 - Nota de Crédito Electrónica: 3062483 </t>
  </si>
  <si>
    <t>-3.76 %</t>
  </si>
  <si>
    <t>21-01-2025 15:24:14</t>
  </si>
  <si>
    <t>FEDERICO ERRAZURIZ 1250 DPTO 31 EDIFICIO 6</t>
  </si>
  <si>
    <t>955290099</t>
  </si>
  <si>
    <t>s.ramireztorres@hotmail.com</t>
  </si>
  <si>
    <t>30-01-2025 0:00:00</t>
  </si>
  <si>
    <t xml:space="preserve">Guía de Despacho: 1 - Factura Electrónica: 1839953 - Nota de Crédito Electrónica: 3062524 </t>
  </si>
  <si>
    <t>01-03-2025 0:00:00</t>
  </si>
  <si>
    <t>PGSY19</t>
  </si>
  <si>
    <t>0.02 %</t>
  </si>
  <si>
    <t>21-01-2025 15:32:21</t>
  </si>
  <si>
    <t xml:space="preserve">Guía de Despacho: 1 - Factura Electrónica: 1864567 - Nota de Crédito Electrónica: 3063712 </t>
  </si>
  <si>
    <t>-16.9 %</t>
  </si>
  <si>
    <t>-16.4 %</t>
  </si>
  <si>
    <t>21-01-2025 15:51:21</t>
  </si>
  <si>
    <t xml:space="preserve">Guía de Despacho: 1 - Factura Electrónica: 1864566 - Nota de Crédito Electrónica: 3063693 </t>
  </si>
  <si>
    <t>-2.92 %</t>
  </si>
  <si>
    <t>-2.83 %</t>
  </si>
  <si>
    <t>21-01-2025 18:00:21</t>
  </si>
  <si>
    <t>CAMINO LOS PEUMOS 10200 CASA 27</t>
  </si>
  <si>
    <t>979667938</t>
  </si>
  <si>
    <t>LO BARNECHEA</t>
  </si>
  <si>
    <t>18/01/1973</t>
  </si>
  <si>
    <t>RODRIGOHEREDI@GMAIL.COM</t>
  </si>
  <si>
    <t>27-01-2025 0:00:00</t>
  </si>
  <si>
    <t xml:space="preserve">Guía de Despacho: 1 - Factura Electrónica: 1864428 </t>
  </si>
  <si>
    <t>-8.67 %</t>
  </si>
  <si>
    <t>-8.2 %</t>
  </si>
  <si>
    <t>21-01-2025 18:15:01</t>
  </si>
  <si>
    <t>COLOMBIA 7800 DEPTO 704</t>
  </si>
  <si>
    <t>956003735</t>
  </si>
  <si>
    <t>VANE.M.ALARCON@GMAIL.COM</t>
  </si>
  <si>
    <t>NIVUS</t>
  </si>
  <si>
    <t>CH13L411</t>
  </si>
  <si>
    <t xml:space="preserve">Guía de Despacho: 1 - Factura Electrónica: 1864536 </t>
  </si>
  <si>
    <t>-8.79 %</t>
  </si>
  <si>
    <t>-8.32 %</t>
  </si>
  <si>
    <t>22-01-2025 17:41:25</t>
  </si>
  <si>
    <t>CAMINO OTOÑAL 1326 DPTO C2</t>
  </si>
  <si>
    <t>993300005</t>
  </si>
  <si>
    <t>21/04/1945</t>
  </si>
  <si>
    <t>MARCOS.KULKA@FCH.CL</t>
  </si>
  <si>
    <t xml:space="preserve">Guía de Despacho: 1 - Factura Electrónica: 1839682 </t>
  </si>
  <si>
    <t>-10.57 %</t>
  </si>
  <si>
    <t>-10 %</t>
  </si>
  <si>
    <t>23-01-2025 16:36:11</t>
  </si>
  <si>
    <t>MONROE 6584</t>
  </si>
  <si>
    <t>969160087</t>
  </si>
  <si>
    <t>Djbrookssb@gmail.com</t>
  </si>
  <si>
    <t>CH14K311</t>
  </si>
  <si>
    <t xml:space="preserve">Guía de Despacho: 1 - Factura Electrónica: 1864596 </t>
  </si>
  <si>
    <t>26-02-2025 0:00:00</t>
  </si>
  <si>
    <t>-19.68 %</t>
  </si>
  <si>
    <t>-18.71 %</t>
  </si>
  <si>
    <t>24-01-2025 17:04:54</t>
  </si>
  <si>
    <t>VASCO DE GAMA 4596 DEPTO 17</t>
  </si>
  <si>
    <t>961689307</t>
  </si>
  <si>
    <t>bernarditasoler@gmail.com</t>
  </si>
  <si>
    <t xml:space="preserve">Guía de Despacho: 1 - Factura Electrónica: 1841782 </t>
  </si>
  <si>
    <t>-3.17 %</t>
  </si>
  <si>
    <t>-1.58 %</t>
  </si>
  <si>
    <t>27-01-2025 18:15:38</t>
  </si>
  <si>
    <t>9</t>
  </si>
  <si>
    <t>HERNANDO DE MAGALLANES 1922</t>
  </si>
  <si>
    <t>996897113</t>
  </si>
  <si>
    <t>06/06/1959</t>
  </si>
  <si>
    <t>francescacalvanese@gmail.com</t>
  </si>
  <si>
    <t>BF33D411</t>
  </si>
  <si>
    <t>28-01-2025 0:00:00</t>
  </si>
  <si>
    <t xml:space="preserve">Guía de Despacho: 1 - Factura Electrónica: 1838082 </t>
  </si>
  <si>
    <t>-5.99 %</t>
  </si>
  <si>
    <t>-5.66 %</t>
  </si>
  <si>
    <t>29-01-2025 9:57:23</t>
  </si>
  <si>
    <t>VEINTITRES DE FEBRERO 8916 CASA A</t>
  </si>
  <si>
    <t>998484576</t>
  </si>
  <si>
    <t>31/07/1984</t>
  </si>
  <si>
    <t>nataliebordachar@gmail.com</t>
  </si>
  <si>
    <t>CQ16LY11</t>
  </si>
  <si>
    <t xml:space="preserve">Guía de Despacho: 1 - Factura Electrónica: 1839961 </t>
  </si>
  <si>
    <t>-13.97 %</t>
  </si>
  <si>
    <t>-13.2 %</t>
  </si>
  <si>
    <t>30-01-2025 17:47:56</t>
  </si>
  <si>
    <t>ALONSO DE CAMARGO 5870 DEPTO 403</t>
  </si>
  <si>
    <t>99179180</t>
  </si>
  <si>
    <t>NICOLAS.C¿MACCLUR@INPEN.CL</t>
  </si>
  <si>
    <t>CA35PR11</t>
  </si>
  <si>
    <t xml:space="preserve">Factura Electrónica: 1841778 </t>
  </si>
  <si>
    <t>-3.49 %</t>
  </si>
  <si>
    <t>-2.89 %</t>
  </si>
  <si>
    <t>T60</t>
  </si>
  <si>
    <t>10-12-2024 16:36:57</t>
  </si>
  <si>
    <t>EL ALFALFAL N°471</t>
  </si>
  <si>
    <t>932399384</t>
  </si>
  <si>
    <t>957897580</t>
  </si>
  <si>
    <t>LAMPA</t>
  </si>
  <si>
    <t>20/07/2010</t>
  </si>
  <si>
    <t>CGODOY@TRIPLECINTERNATIONAL.COM</t>
  </si>
  <si>
    <t>21062023</t>
  </si>
  <si>
    <t xml:space="preserve">Guía de Despacho: 1 - Factura Electrónica: 205710 </t>
  </si>
  <si>
    <t>3.89 %</t>
  </si>
  <si>
    <t>2.6 %</t>
  </si>
  <si>
    <t>02-01-2025 17:00:38</t>
  </si>
  <si>
    <t>PASAJE LA GROSSAL 02340</t>
  </si>
  <si>
    <t>993401676</t>
  </si>
  <si>
    <t>SAN BERNARDO</t>
  </si>
  <si>
    <t>07/06/1977</t>
  </si>
  <si>
    <t>HEREBAHAM@HOTMAIL.COM</t>
  </si>
  <si>
    <t>X70</t>
  </si>
  <si>
    <t>03082023</t>
  </si>
  <si>
    <t xml:space="preserve">Guía de Despacho: 1 - Factura Electrónica: 145309 </t>
  </si>
  <si>
    <t>16-02-2025 0:00:00</t>
  </si>
  <si>
    <t>HLRT60</t>
  </si>
  <si>
    <t>-21.46 %</t>
  </si>
  <si>
    <t>-20.12 %</t>
  </si>
  <si>
    <t>07-01-2025 13:16:04</t>
  </si>
  <si>
    <t>BAQUEDANO 239 OF 414</t>
  </si>
  <si>
    <t>6-919.3266</t>
  </si>
  <si>
    <t>926281759</t>
  </si>
  <si>
    <t>ANTOFAGASTA</t>
  </si>
  <si>
    <t>GERENCIA@GGINGENIERIA.CL</t>
  </si>
  <si>
    <t>C35 L</t>
  </si>
  <si>
    <t xml:space="preserve">Guía de Despacho: 1 - Factura Electrónica: 284604 </t>
  </si>
  <si>
    <t>8.19 %</t>
  </si>
  <si>
    <t>7.92 %</t>
  </si>
  <si>
    <t>08-01-2025 17:53:51</t>
  </si>
  <si>
    <t>LO FONTECILLA 101 OFI 903 LC</t>
  </si>
  <si>
    <t>+56 9 8428 0282</t>
  </si>
  <si>
    <t>03/03/2023</t>
  </si>
  <si>
    <t>fgarreaud@pkgabogados.cl</t>
  </si>
  <si>
    <t>2592023</t>
  </si>
  <si>
    <t>21-01-2025 0:00:00</t>
  </si>
  <si>
    <t xml:space="preserve">Guía de Despacho: 1 - Factura Electrónica: 206075 </t>
  </si>
  <si>
    <t>20-02-2025 0:00:00</t>
  </si>
  <si>
    <t>1.8 %</t>
  </si>
  <si>
    <t>1.74 %</t>
  </si>
  <si>
    <t>10-01-2025 15:37:20</t>
  </si>
  <si>
    <t>PETRONILA 149 50</t>
  </si>
  <si>
    <t>985433201</t>
  </si>
  <si>
    <t>01/01/2022</t>
  </si>
  <si>
    <t>ascanio.osorioc@gmail.com</t>
  </si>
  <si>
    <t xml:space="preserve">Guía de Despacho: 1 - Factura Electrónica: 186708 </t>
  </si>
  <si>
    <t>-6.03 %</t>
  </si>
  <si>
    <t>-5.83 %</t>
  </si>
  <si>
    <t>10-01-2025 15:45:47</t>
  </si>
  <si>
    <t>RAFAEL CASANOVA 213, 309</t>
  </si>
  <si>
    <t>953274041</t>
  </si>
  <si>
    <t>SANTA CRUZ</t>
  </si>
  <si>
    <t>25/07/2022</t>
  </si>
  <si>
    <t>AGUSTIN@RUCOCONSULTING.CL</t>
  </si>
  <si>
    <t>2710</t>
  </si>
  <si>
    <t xml:space="preserve">Guía de Despacho: 1 - Factura Electrónica: 206024 </t>
  </si>
  <si>
    <t>19-02-2025 0:00:00</t>
  </si>
  <si>
    <t>FRTD28</t>
  </si>
  <si>
    <t>5 %</t>
  </si>
  <si>
    <t>4.84 %</t>
  </si>
  <si>
    <t>11-01-2025 12:06:24</t>
  </si>
  <si>
    <t>EJERCITO LIBERTADOR 2120 CASA 297</t>
  </si>
  <si>
    <t>985658267</t>
  </si>
  <si>
    <t>22/09/1987</t>
  </si>
  <si>
    <t>COMERCIALA07SPA@GMAIL.COM</t>
  </si>
  <si>
    <t>KYE5</t>
  </si>
  <si>
    <t>632024</t>
  </si>
  <si>
    <t>15-01-2025 0:00:00</t>
  </si>
  <si>
    <t xml:space="preserve">Guía de Despacho Electrónica: 1 - Factura Electrónica: 168809 </t>
  </si>
  <si>
    <t>14-02-2025 0:00:00</t>
  </si>
  <si>
    <t>-12.32 %</t>
  </si>
  <si>
    <t>-11.57 %</t>
  </si>
  <si>
    <t>15-01-2025 10:53:16</t>
  </si>
  <si>
    <t>LOS JORNALEROS 1718</t>
  </si>
  <si>
    <t>982342462</t>
  </si>
  <si>
    <t>06/03/1961</t>
  </si>
  <si>
    <t>GERARDOACHA@GMAIL.COM</t>
  </si>
  <si>
    <t>02082023</t>
  </si>
  <si>
    <t xml:space="preserve">Guía de Despacho: 1 - Factura Electrónica: 176302 </t>
  </si>
  <si>
    <t>-16.85 %</t>
  </si>
  <si>
    <t>-100 %</t>
  </si>
  <si>
    <t>-22.73 %</t>
  </si>
  <si>
    <t>21-01-2025 11:03:39</t>
  </si>
  <si>
    <t>TONGOY 1157</t>
  </si>
  <si>
    <t>67275763</t>
  </si>
  <si>
    <t>+569 67275763</t>
  </si>
  <si>
    <t>20/12/1964</t>
  </si>
  <si>
    <t>enniogrbac@grbac.cl</t>
  </si>
  <si>
    <t>D60</t>
  </si>
  <si>
    <t>10112023</t>
  </si>
  <si>
    <t xml:space="preserve">Guía de Despacho: 1 - Factura Electrónica: 205322 </t>
  </si>
  <si>
    <t>22-02-2025 0:00:00</t>
  </si>
  <si>
    <t>KBBL13</t>
  </si>
  <si>
    <t>-5.81 %</t>
  </si>
  <si>
    <t>-5.48 %</t>
  </si>
  <si>
    <t>21-01-2025 14:49:46</t>
  </si>
  <si>
    <t>JUAN DE DIOS VIAL CORREA 4220 DPTO 401 B</t>
  </si>
  <si>
    <t>95975802</t>
  </si>
  <si>
    <t>951975802</t>
  </si>
  <si>
    <t>PEÑALOLEN</t>
  </si>
  <si>
    <t>10/06/1991</t>
  </si>
  <si>
    <t>manu_salas1991@hotmail.com</t>
  </si>
  <si>
    <t>T2</t>
  </si>
  <si>
    <t>240813</t>
  </si>
  <si>
    <t xml:space="preserve">Guía de Despacho: 1 - Factura Electrónica: 187112 </t>
  </si>
  <si>
    <t>02-03-2025 0:00:00</t>
  </si>
  <si>
    <t>SFXJ73</t>
  </si>
  <si>
    <t>-0.53 %</t>
  </si>
  <si>
    <t>-0.49 %</t>
  </si>
  <si>
    <t>23-01-2025 11:04:10</t>
  </si>
  <si>
    <t>RUTA V-065 KM 5 0 RIO CHICO</t>
  </si>
  <si>
    <t>994341528</t>
  </si>
  <si>
    <t>PUERTO MONTT</t>
  </si>
  <si>
    <t>28/05/2024</t>
  </si>
  <si>
    <t>TJOQUE@PATBIO.COM</t>
  </si>
  <si>
    <t xml:space="preserve">Guía de Despacho: 1 - Factura Electrónica: 206185 </t>
  </si>
  <si>
    <t>0.55 %</t>
  </si>
  <si>
    <t>0.53 %</t>
  </si>
  <si>
    <t>24-01-2025 10:01:06</t>
  </si>
  <si>
    <t>SEMINARIO 372</t>
  </si>
  <si>
    <t>985290198</t>
  </si>
  <si>
    <t>gabriel.oberreuter@opciones.cl</t>
  </si>
  <si>
    <t>Q22</t>
  </si>
  <si>
    <t>3242023</t>
  </si>
  <si>
    <t xml:space="preserve">Guía de Despacho: 1 - Factura Electrónica: 293476 </t>
  </si>
  <si>
    <t>-24.17 %</t>
  </si>
  <si>
    <t>-23.14 %</t>
  </si>
  <si>
    <t>31-01-2025 10:48:39</t>
  </si>
  <si>
    <t>2</t>
  </si>
  <si>
    <t>LO CABAÑA 80 DPTO 804</t>
  </si>
  <si>
    <t>93433346</t>
  </si>
  <si>
    <t>993433346</t>
  </si>
  <si>
    <t>27/11/1984</t>
  </si>
  <si>
    <t>MATIASAGLIATI@GMAIL.COM</t>
  </si>
  <si>
    <t xml:space="preserve">Guía de Despacho: 1 - Factura Electrónica: 206373 </t>
  </si>
  <si>
    <t>KZHK49</t>
  </si>
  <si>
    <t>-4.17 %</t>
  </si>
  <si>
    <t>04-01-2025 10:48:36</t>
  </si>
  <si>
    <t>VALENZUELA PUELMA 9709 CASA 22</t>
  </si>
  <si>
    <t>995153000</t>
  </si>
  <si>
    <t>11/06/1970</t>
  </si>
  <si>
    <t>jaimegrantt@gmail.com</t>
  </si>
  <si>
    <t>SVKC32</t>
  </si>
  <si>
    <t>GROOVE</t>
  </si>
  <si>
    <t xml:space="preserve">Contrato: 132 </t>
  </si>
  <si>
    <t>5.41 %</t>
  </si>
  <si>
    <t>4.65 %</t>
  </si>
  <si>
    <t>08-01-2025 17:57:54</t>
  </si>
  <si>
    <t>CAMINO EL PARQUE 100 DPTO 603 EDIFICIO LINGUE</t>
  </si>
  <si>
    <t>+56948014356</t>
  </si>
  <si>
    <t>09/07/1982</t>
  </si>
  <si>
    <t>CRISTIANPARDOS@LIVE.COM</t>
  </si>
  <si>
    <t>RWPL70</t>
  </si>
  <si>
    <t>10--RHGOL</t>
  </si>
  <si>
    <t xml:space="preserve">Contrato: 143 </t>
  </si>
  <si>
    <t>14.17 %</t>
  </si>
  <si>
    <t>13.67 %</t>
  </si>
  <si>
    <t>09-01-2025 13:07:01</t>
  </si>
  <si>
    <t>FRANCISCO BILBAO N° 4740</t>
  </si>
  <si>
    <t>985775766</t>
  </si>
  <si>
    <t>francisco.ortuzar@mail.udp.cl</t>
  </si>
  <si>
    <t>FSPS74</t>
  </si>
  <si>
    <t>CX-5</t>
  </si>
  <si>
    <t>-6.38 %</t>
  </si>
  <si>
    <t>09-01-2025 15:22:18</t>
  </si>
  <si>
    <t>AV JOSE MIGUEL INFANTE 5886</t>
  </si>
  <si>
    <t>+56964395385</t>
  </si>
  <si>
    <t>RENCA</t>
  </si>
  <si>
    <t>11/09/1992</t>
  </si>
  <si>
    <t>RICHARDSOTOSANDOVAL@GMAIL.COM</t>
  </si>
  <si>
    <t>RZHZ40</t>
  </si>
  <si>
    <t>BALENO</t>
  </si>
  <si>
    <t xml:space="preserve">Contrato: 144 </t>
  </si>
  <si>
    <t>16.57 %</t>
  </si>
  <si>
    <t>16.02 %</t>
  </si>
  <si>
    <t>10-01-2025 12:04:28</t>
  </si>
  <si>
    <t>VIRGO 1802</t>
  </si>
  <si>
    <t>993213212</t>
  </si>
  <si>
    <t>03/12/1986</t>
  </si>
  <si>
    <t>MARI_GONZALEZ6@HOTMAIL.COM</t>
  </si>
  <si>
    <t>SVVK61</t>
  </si>
  <si>
    <t>BJ24N611</t>
  </si>
  <si>
    <t>CHILEAUTOS</t>
  </si>
  <si>
    <t>5.15 %</t>
  </si>
  <si>
    <t>5.05 %</t>
  </si>
  <si>
    <t>10-01-2025 13:01:35</t>
  </si>
  <si>
    <t>Camino Chabelun Calle Calelo casa 3 ZAPALLAR</t>
  </si>
  <si>
    <t>976485003</t>
  </si>
  <si>
    <t>PUCHUNCAVI</t>
  </si>
  <si>
    <t>15/03/1991</t>
  </si>
  <si>
    <t>Jacquesdhg@gmail.com</t>
  </si>
  <si>
    <t>PSHT25</t>
  </si>
  <si>
    <t>5URTT411</t>
  </si>
  <si>
    <t>9.36 %</t>
  </si>
  <si>
    <t>8.71 %</t>
  </si>
  <si>
    <t>13-01-2025 13:35:56</t>
  </si>
  <si>
    <t>k</t>
  </si>
  <si>
    <t>ITATA 4425 DEPTO 507</t>
  </si>
  <si>
    <t>995491107</t>
  </si>
  <si>
    <t>08/03/1973</t>
  </si>
  <si>
    <t>ALEJADO@GMAIL.COM</t>
  </si>
  <si>
    <t>RXTT68</t>
  </si>
  <si>
    <t>CH14K315</t>
  </si>
  <si>
    <t>10.35 %</t>
  </si>
  <si>
    <t>10.11 %</t>
  </si>
  <si>
    <t>13-01-2025 18:14:39</t>
  </si>
  <si>
    <t>HANNOVER 5331 DEPTO D 307</t>
  </si>
  <si>
    <t>992790275</t>
  </si>
  <si>
    <t>18/11/1993</t>
  </si>
  <si>
    <t>MARIA.MONTECINOSE@GMAIL.COM</t>
  </si>
  <si>
    <t>TJVT76</t>
  </si>
  <si>
    <t>26.87 %</t>
  </si>
  <si>
    <t>26.25 %</t>
  </si>
  <si>
    <t>14-01-2025 12:06:13</t>
  </si>
  <si>
    <t>ATAHUALPA 235 DTO/402 -D</t>
  </si>
  <si>
    <t>977673383</t>
  </si>
  <si>
    <t>14/11/1974</t>
  </si>
  <si>
    <t>patriacancino14@gmail.com</t>
  </si>
  <si>
    <t>RWZT72</t>
  </si>
  <si>
    <t xml:space="preserve">Contrato: 105 </t>
  </si>
  <si>
    <t>9.77 %</t>
  </si>
  <si>
    <t>9.52 %</t>
  </si>
  <si>
    <t>14-01-2025 18:38:37</t>
  </si>
  <si>
    <t>PADRE TADEO 5017</t>
  </si>
  <si>
    <t>973385973</t>
  </si>
  <si>
    <t>QUINTA NORMAL</t>
  </si>
  <si>
    <t>27/02/1991</t>
  </si>
  <si>
    <t>NAATALIAP.FLORES@GMAIL.COM</t>
  </si>
  <si>
    <t>LSKW61</t>
  </si>
  <si>
    <t>ECLIPSE</t>
  </si>
  <si>
    <t>CROSS RX 1.5T  AT</t>
  </si>
  <si>
    <t>14.59 %</t>
  </si>
  <si>
    <t>14.18 %</t>
  </si>
  <si>
    <t>15-01-2025 11:25:59</t>
  </si>
  <si>
    <t>CAMINO EL ATAJO 10444</t>
  </si>
  <si>
    <t>942143668</t>
  </si>
  <si>
    <t>01/08/2006</t>
  </si>
  <si>
    <t>MAXDOLLMANN7@GMAIL.COM</t>
  </si>
  <si>
    <t>RHZL77</t>
  </si>
  <si>
    <t>25--86342</t>
  </si>
  <si>
    <t>13.47 %</t>
  </si>
  <si>
    <t>13.11 %</t>
  </si>
  <si>
    <t>15-01-2025 17:10:16</t>
  </si>
  <si>
    <t>REY GUSTAVO ADOLFO 4620 DPTO 62</t>
  </si>
  <si>
    <t>962067354</t>
  </si>
  <si>
    <t>27/05/1975</t>
  </si>
  <si>
    <t>MARIAMELIA.ROBLES@GMAIL.COM</t>
  </si>
  <si>
    <t>TBFD95</t>
  </si>
  <si>
    <t>5.48 %</t>
  </si>
  <si>
    <t>5.34 %</t>
  </si>
  <si>
    <t>16-01-2025 18:06:43</t>
  </si>
  <si>
    <t>SERRANO 62 DPTO 612</t>
  </si>
  <si>
    <t>956295315</t>
  </si>
  <si>
    <t>28/05/1982</t>
  </si>
  <si>
    <t>plaza.sebastian@gmail.com</t>
  </si>
  <si>
    <t>TTRR50</t>
  </si>
  <si>
    <t>BU49UZ11</t>
  </si>
  <si>
    <t>TKWX97</t>
  </si>
  <si>
    <t>10.77 %</t>
  </si>
  <si>
    <t>11.51 %</t>
  </si>
  <si>
    <t>17-01-2025 12:39:25</t>
  </si>
  <si>
    <t>CAMINO VILLARRICA - PUCON KM5 CONDOMINIO PARQUE DEL LAGO CASA 48</t>
  </si>
  <si>
    <t>999694006</t>
  </si>
  <si>
    <t>VILLARRICA</t>
  </si>
  <si>
    <t>06/12/1985</t>
  </si>
  <si>
    <t>sbrowneru@gmail.com</t>
  </si>
  <si>
    <t>PGKT34</t>
  </si>
  <si>
    <t>10--98635</t>
  </si>
  <si>
    <t>13.1 %</t>
  </si>
  <si>
    <t>9.76 %</t>
  </si>
  <si>
    <t>20-01-2025 16:39:54</t>
  </si>
  <si>
    <t>Cerro Las Arañas 12201</t>
  </si>
  <si>
    <t>956086362</t>
  </si>
  <si>
    <t>IVOLANTE@AURYN.CL</t>
  </si>
  <si>
    <t>JWCP95</t>
  </si>
  <si>
    <t>MAZDA 3</t>
  </si>
  <si>
    <t>15--CXO9</t>
  </si>
  <si>
    <t>10.27 %</t>
  </si>
  <si>
    <t>21-01-2025 13:39:46</t>
  </si>
  <si>
    <t>VITACURA 10108 DPTO 40</t>
  </si>
  <si>
    <t>982591707</t>
  </si>
  <si>
    <t>21/12/2000</t>
  </si>
  <si>
    <t>NBUSTAMANTEOLMEDO@GMAIL.COM</t>
  </si>
  <si>
    <t>PCWF83</t>
  </si>
  <si>
    <t>10--GOLGP</t>
  </si>
  <si>
    <t>8 %</t>
  </si>
  <si>
    <t>7.7 %</t>
  </si>
  <si>
    <t>23-01-2025 13:07:11</t>
  </si>
  <si>
    <t>BELPASSO 1018</t>
  </si>
  <si>
    <t>962551445</t>
  </si>
  <si>
    <t>16/04/1986</t>
  </si>
  <si>
    <t>MAGABERIN@GMAIL.COM</t>
  </si>
  <si>
    <t>PHXZ46</t>
  </si>
  <si>
    <t>08032022</t>
  </si>
  <si>
    <t>12.5 %</t>
  </si>
  <si>
    <t>12.12 %</t>
  </si>
  <si>
    <t>23-01-2025 19:14:54</t>
  </si>
  <si>
    <t>AVENIDA MEXICO 2227 CASA 100</t>
  </si>
  <si>
    <t>950972864</t>
  </si>
  <si>
    <t>17/02/1986</t>
  </si>
  <si>
    <t>SEBA.GMARDONES@GMAIL.COM</t>
  </si>
  <si>
    <t>PCZX75</t>
  </si>
  <si>
    <t>BF13T412</t>
  </si>
  <si>
    <t>9.09 %</t>
  </si>
  <si>
    <t>6.67 %</t>
  </si>
  <si>
    <t>24-01-2025 11:03:13</t>
  </si>
  <si>
    <t>Jorge Valdes Perez 3139</t>
  </si>
  <si>
    <t>952162022</t>
  </si>
  <si>
    <t>BUIN</t>
  </si>
  <si>
    <t>14/03/1979</t>
  </si>
  <si>
    <t>rodrigoctv@gmail.com</t>
  </si>
  <si>
    <t>TTRR73</t>
  </si>
  <si>
    <t>10--BU43LY11</t>
  </si>
  <si>
    <t>PCYS71</t>
  </si>
  <si>
    <t>8.62 %</t>
  </si>
  <si>
    <t>8.36 %</t>
  </si>
  <si>
    <t>27-01-2025 10:38:49</t>
  </si>
  <si>
    <t>AV. OSSA  953</t>
  </si>
  <si>
    <t>992309752</t>
  </si>
  <si>
    <t>03/10/1951</t>
  </si>
  <si>
    <t>bb@bjk.cl</t>
  </si>
  <si>
    <t>YARIS</t>
  </si>
  <si>
    <t>28-01-2025 16:56:15</t>
  </si>
  <si>
    <t>GENERAL CAROL URZUA 6950 DEPTO 502</t>
  </si>
  <si>
    <t>997223454</t>
  </si>
  <si>
    <t>30/04/1993</t>
  </si>
  <si>
    <t>JOSE.DROGUET.F@GMAIL.COM</t>
  </si>
  <si>
    <t>HHVT31</t>
  </si>
  <si>
    <t>8--53623</t>
  </si>
  <si>
    <t>FZXD</t>
  </si>
  <si>
    <t>23.47 %</t>
  </si>
  <si>
    <t>22.52 %</t>
  </si>
  <si>
    <t>29-01-2025 17:38:56</t>
  </si>
  <si>
    <t>OFICINA LINA 235 CONDOMINIO PATAGUAL</t>
  </si>
  <si>
    <t>961112997</t>
  </si>
  <si>
    <t>01/01/1980</t>
  </si>
  <si>
    <t>mquezada72@gmail.com</t>
  </si>
  <si>
    <t>KHTB67</t>
  </si>
  <si>
    <t>PICK UP</t>
  </si>
  <si>
    <t>10--saveipow</t>
  </si>
  <si>
    <t>21.14 %</t>
  </si>
  <si>
    <t>14.88 %</t>
  </si>
  <si>
    <t>29-01-2025 19:01:39</t>
  </si>
  <si>
    <t>EYZAGUIIRRE 295</t>
  </si>
  <si>
    <t>972979764</t>
  </si>
  <si>
    <t>20/01/1995</t>
  </si>
  <si>
    <t>erick_lizana@hotmail.com</t>
  </si>
  <si>
    <t>AUTOMOVIL 01</t>
  </si>
  <si>
    <t>ATOS</t>
  </si>
  <si>
    <t>2--025</t>
  </si>
  <si>
    <t>5.56 %</t>
  </si>
  <si>
    <t>5.36 %</t>
  </si>
  <si>
    <t>30-01-2025 16:58:59</t>
  </si>
  <si>
    <t>10--BORA</t>
  </si>
  <si>
    <t>15.38 %</t>
  </si>
  <si>
    <t>30-01-2025 17:01:36</t>
  </si>
  <si>
    <t>CS 35 1.6</t>
  </si>
  <si>
    <t>3658</t>
  </si>
  <si>
    <t>7.89 %</t>
  </si>
  <si>
    <t>31-01-2025 12:18:43</t>
  </si>
  <si>
    <t>SAN PABLO 1295 DPTO 1116</t>
  </si>
  <si>
    <t>957177616</t>
  </si>
  <si>
    <t>20/07/1953</t>
  </si>
  <si>
    <t>sgcl3691@gmail.com</t>
  </si>
  <si>
    <t>KVKD41</t>
  </si>
  <si>
    <t>16.84 %</t>
  </si>
  <si>
    <t>15.61 %</t>
  </si>
  <si>
    <t>31-01-2025 13:38:45</t>
  </si>
  <si>
    <t>FZXD90</t>
  </si>
  <si>
    <t>24--42365</t>
  </si>
  <si>
    <t>11.81 %</t>
  </si>
  <si>
    <t>03-02-2025 12:12:27</t>
  </si>
  <si>
    <t>SIMON GONZALEZ 7452</t>
  </si>
  <si>
    <t>988398566</t>
  </si>
  <si>
    <t>01/06/1979</t>
  </si>
  <si>
    <t>CARLOS@ROMERO.PRO</t>
  </si>
  <si>
    <t>RCJT79</t>
  </si>
  <si>
    <t>001--ZZ</t>
  </si>
  <si>
    <t>10.71 %</t>
  </si>
  <si>
    <t>10.31 %</t>
  </si>
  <si>
    <t>05-02-2025 12:09:59</t>
  </si>
  <si>
    <t>LO BELTRAN 2488</t>
  </si>
  <si>
    <t>+56981993181</t>
  </si>
  <si>
    <t>11/05/1989</t>
  </si>
  <si>
    <t>FLORESM.JAVIER@GMAIL.COM</t>
  </si>
  <si>
    <t>JEEP</t>
  </si>
  <si>
    <t>TOUAREG</t>
  </si>
  <si>
    <t>10--3251</t>
  </si>
  <si>
    <t>9.38 %</t>
  </si>
  <si>
    <t>9.21 %</t>
  </si>
  <si>
    <t>Andes</t>
  </si>
  <si>
    <t>Margen</t>
  </si>
  <si>
    <t>LNEF</t>
  </si>
  <si>
    <t>Pasajeros</t>
  </si>
  <si>
    <t>Total</t>
  </si>
  <si>
    <t>Promedio</t>
  </si>
  <si>
    <t>Suma total</t>
  </si>
  <si>
    <t>Cantidad</t>
  </si>
  <si>
    <t>Tipo Vehiculo</t>
  </si>
  <si>
    <t>Forma de Pago</t>
  </si>
  <si>
    <t>Unidad Costo Factura (-)</t>
  </si>
  <si>
    <t>Gastos (-)</t>
  </si>
  <si>
    <t>Trámites (-)</t>
  </si>
  <si>
    <t>Costo Accesorios (-)</t>
  </si>
  <si>
    <t>Notas de Crédito (+)</t>
  </si>
  <si>
    <t>Venta Neta con tramites (+)</t>
  </si>
  <si>
    <t>Acción Comercial Contado (Bruto)</t>
  </si>
  <si>
    <t>Acción Comercial Contado (Neto) (+)</t>
  </si>
  <si>
    <t>Acción Comercial Crèdito (Bruto)</t>
  </si>
  <si>
    <t>Acción Comercial Crédito Pagada (Neto) (+)</t>
  </si>
  <si>
    <t>Bono Crédito (Bruto)</t>
  </si>
  <si>
    <t>Bono Crédito (Neto) (+)</t>
  </si>
  <si>
    <t>Bono Volumen Bruto</t>
  </si>
  <si>
    <t>Bono Volumen Neto (+)</t>
  </si>
  <si>
    <t>Margen Final</t>
  </si>
  <si>
    <t>Margen con Bonos en Sistema</t>
  </si>
  <si>
    <t>Diferencias</t>
  </si>
  <si>
    <t>% MARGEN</t>
  </si>
  <si>
    <t>LNF</t>
  </si>
  <si>
    <t>Andes Motors</t>
  </si>
  <si>
    <t>Total Autos</t>
  </si>
  <si>
    <t>N</t>
  </si>
  <si>
    <t>V</t>
  </si>
  <si>
    <t>G</t>
  </si>
  <si>
    <t>BK</t>
  </si>
  <si>
    <t>Tanner</t>
  </si>
  <si>
    <t>Directo</t>
  </si>
  <si>
    <t>Forum</t>
  </si>
  <si>
    <t>Lucy</t>
  </si>
  <si>
    <t>Santander</t>
  </si>
  <si>
    <t>4.98 %</t>
  </si>
  <si>
    <t>3.67 %</t>
  </si>
  <si>
    <t>3.76 %</t>
  </si>
  <si>
    <t>2.52 %</t>
  </si>
  <si>
    <t>4.51 %</t>
  </si>
  <si>
    <t>3.43 %</t>
  </si>
  <si>
    <t>3.35 %</t>
  </si>
  <si>
    <t>2.16 %</t>
  </si>
  <si>
    <t>0.56 %</t>
  </si>
  <si>
    <t>7.94 %</t>
  </si>
  <si>
    <t>3.42 %</t>
  </si>
  <si>
    <t>2.53 %</t>
  </si>
  <si>
    <t>1.07 %</t>
  </si>
  <si>
    <t>0.15 %</t>
  </si>
  <si>
    <t>2.9 %</t>
  </si>
  <si>
    <t>2.13 %</t>
  </si>
  <si>
    <t>9.41 %</t>
  </si>
  <si>
    <t>8.26 %</t>
  </si>
  <si>
    <t>4.02 %</t>
  </si>
  <si>
    <t>9.54 %</t>
  </si>
  <si>
    <t>8.47 %</t>
  </si>
  <si>
    <t>10.8 %</t>
  </si>
  <si>
    <t>5.18 %</t>
  </si>
  <si>
    <t>5.37 %</t>
  </si>
  <si>
    <t>12.42 %</t>
  </si>
  <si>
    <t>10.94 %</t>
  </si>
  <si>
    <t>6.51 %</t>
  </si>
  <si>
    <t>12.79 %</t>
  </si>
  <si>
    <t>12.84 %</t>
  </si>
  <si>
    <t>4.63 %</t>
  </si>
  <si>
    <t>3.27 %</t>
  </si>
  <si>
    <t>7.61 %</t>
  </si>
  <si>
    <t>6.4 %</t>
  </si>
  <si>
    <t>7.62 %</t>
  </si>
  <si>
    <t>-17.52 %</t>
  </si>
  <si>
    <t>-17.67 %</t>
  </si>
  <si>
    <t>7.85 %</t>
  </si>
  <si>
    <t>6.74 %</t>
  </si>
  <si>
    <t>1.19 %</t>
  </si>
  <si>
    <t>0.34 %</t>
  </si>
  <si>
    <t>-3.96 %</t>
  </si>
  <si>
    <t>-4.74 %</t>
  </si>
  <si>
    <t>3.02 %</t>
  </si>
  <si>
    <t>2.03 %</t>
  </si>
  <si>
    <t>1.98 %</t>
  </si>
  <si>
    <t>0.81 %</t>
  </si>
  <si>
    <t>3.73 %</t>
  </si>
  <si>
    <t>3.08 %</t>
  </si>
  <si>
    <t>1.99 %</t>
  </si>
  <si>
    <t>5.49 %</t>
  </si>
  <si>
    <t>4.31 %</t>
  </si>
  <si>
    <t>5.06 %</t>
  </si>
  <si>
    <t>5.14 %</t>
  </si>
  <si>
    <t>5.58 %</t>
  </si>
  <si>
    <t>4.16 %</t>
  </si>
  <si>
    <t>4.96 %</t>
  </si>
  <si>
    <t>3.74 %</t>
  </si>
  <si>
    <t>3.63 %</t>
  </si>
  <si>
    <t>3.25 %</t>
  </si>
  <si>
    <t>09-12-2024 15:51:23</t>
  </si>
  <si>
    <t>ELGG SPA</t>
  </si>
  <si>
    <t>AMTHAUER 1189 A</t>
  </si>
  <si>
    <t>988895312</t>
  </si>
  <si>
    <t>03/12/2024</t>
  </si>
  <si>
    <t>gabarrientos@uc.cl</t>
  </si>
  <si>
    <t>T60 4X4 DX MT E6</t>
  </si>
  <si>
    <t>AN-24-07-0072</t>
  </si>
  <si>
    <t>LSFAM11A0RA064321</t>
  </si>
  <si>
    <t xml:space="preserve">Guía de Despacho: 1 - Factura Electrónica: 185710 </t>
  </si>
  <si>
    <t>3.41 %</t>
  </si>
  <si>
    <t>4.56 %</t>
  </si>
  <si>
    <t>2.71 %</t>
  </si>
  <si>
    <t>6.55 %</t>
  </si>
  <si>
    <t>4.27 %</t>
  </si>
  <si>
    <t>3.01 %</t>
  </si>
  <si>
    <t>3.19 %</t>
  </si>
  <si>
    <t>1.85 %</t>
  </si>
  <si>
    <t>3.83 %</t>
  </si>
  <si>
    <t>5.6 %</t>
  </si>
  <si>
    <t>4.44 %</t>
  </si>
  <si>
    <t>5.79 %</t>
  </si>
  <si>
    <t>-1.75 %</t>
  </si>
  <si>
    <t>3.2 %</t>
  </si>
  <si>
    <t>1.7 %</t>
  </si>
  <si>
    <t>4.57 %</t>
  </si>
  <si>
    <t>3.57 %</t>
  </si>
  <si>
    <t>6.62 %</t>
  </si>
  <si>
    <t>5.47 %</t>
  </si>
  <si>
    <t>5.61 %</t>
  </si>
  <si>
    <t>4.42 %</t>
  </si>
  <si>
    <t>4.89 %</t>
  </si>
  <si>
    <t>3.85 %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</si>
</sst>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??_-;_-@_-"/>
    <numFmt numFmtId="165" formatCode="_ [$$-340A]* #,##0_ ;_ [$$-340A]* \-#,##0_ ;_ [$$-340A]* &quot;-&quot;??_ ;_ @_ "/>
    <numFmt numFmtId="166" formatCode="0.0"/>
    <numFmt numFmtId="167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Calibri  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charset val="1"/>
    </font>
    <font>
      <sz val="11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8" fillId="28" borderId="1" applyNumberFormat="0" applyAlignment="0" applyProtection="0"/>
    <xf numFmtId="0" fontId="9" fillId="29" borderId="0" applyNumberFormat="0" applyBorder="0" applyAlignment="0" applyProtection="0"/>
    <xf numFmtId="0" fontId="10" fillId="30" borderId="0" applyNumberFormat="0" applyBorder="0" applyAlignment="0" applyProtection="0"/>
    <xf numFmtId="0" fontId="1" fillId="31" borderId="5" applyNumberFormat="0" applyFont="0" applyAlignment="0" applyProtection="0"/>
    <xf numFmtId="0" fontId="11" fillId="20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7" fillId="0" borderId="8" applyNumberFormat="0" applyFill="0" applyAlignment="0" applyProtection="0"/>
    <xf numFmtId="0" fontId="16" fillId="0" borderId="9" applyNumberFormat="0" applyFill="0" applyAlignment="0" applyProtection="0"/>
    <xf numFmtId="42" fontId="1" fillId="0" borderId="0" applyFont="0" applyFill="0" applyBorder="0" applyAlignment="0" applyProtection="0"/>
    <xf numFmtId="0" fontId="17" fillId="33" borderId="0" applyNumberFormat="0" applyBorder="0" applyAlignment="0" applyProtection="0"/>
    <xf numFmtId="0" fontId="18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42" fontId="0" fillId="0" borderId="0" xfId="41" applyFont="1"/>
    <xf numFmtId="0" fontId="0" fillId="32" borderId="0" xfId="0" applyFill="1"/>
    <xf numFmtId="41" fontId="1" fillId="0" borderId="0" xfId="51" applyFont="1"/>
    <xf numFmtId="41" fontId="1" fillId="0" borderId="0" xfId="50" applyNumberFormat="1" applyFont="1"/>
    <xf numFmtId="164" fontId="0" fillId="0" borderId="0" xfId="0" applyNumberFormat="1"/>
    <xf numFmtId="0" fontId="19" fillId="0" borderId="0" xfId="0" applyFont="1"/>
    <xf numFmtId="164" fontId="1" fillId="0" borderId="0" xfId="50" applyNumberFormat="1" applyFont="1"/>
    <xf numFmtId="0" fontId="20" fillId="0" borderId="0" xfId="52" applyFont="1"/>
    <xf numFmtId="164" fontId="21" fillId="0" borderId="0" xfId="0" applyNumberFormat="1" applyFont="1"/>
    <xf numFmtId="0" fontId="1" fillId="0" borderId="0" xfId="52"/>
    <xf numFmtId="0" fontId="16" fillId="0" borderId="0" xfId="0" applyFont="1" applyAlignment="1">
      <alignment horizontal="center" vertical="center"/>
    </xf>
    <xf numFmtId="49" fontId="21" fillId="0" borderId="10" xfId="0" applyNumberFormat="1" applyFont="1" applyBorder="1" applyAlignment="1">
      <alignment horizontal="right"/>
    </xf>
    <xf numFmtId="166" fontId="21" fillId="0" borderId="0" xfId="50" applyNumberFormat="1" applyFont="1" applyFill="1" applyBorder="1" applyAlignment="1">
      <alignment horizontal="right"/>
    </xf>
    <xf numFmtId="165" fontId="21" fillId="0" borderId="0" xfId="50" applyNumberFormat="1" applyFont="1" applyFill="1" applyBorder="1" applyAlignment="1">
      <alignment horizontal="right"/>
    </xf>
    <xf numFmtId="41" fontId="21" fillId="0" borderId="10" xfId="51" applyFont="1" applyFill="1" applyBorder="1" applyAlignment="1">
      <alignment horizontal="right"/>
    </xf>
    <xf numFmtId="41" fontId="16" fillId="0" borderId="0" xfId="51" applyFont="1" applyAlignment="1">
      <alignment horizontal="center" vertical="center"/>
    </xf>
    <xf numFmtId="41" fontId="0" fillId="32" borderId="0" xfId="51" applyFont="1" applyFill="1"/>
    <xf numFmtId="41" fontId="0" fillId="0" borderId="0" xfId="51" applyFont="1"/>
    <xf numFmtId="41" fontId="0" fillId="32" borderId="0" xfId="0" applyNumberFormat="1" applyFill="1"/>
    <xf numFmtId="41" fontId="0" fillId="34" borderId="0" xfId="51" applyFont="1" applyFill="1"/>
    <xf numFmtId="14" fontId="20" fillId="0" borderId="0" xfId="52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1" fontId="20" fillId="34" borderId="0" xfId="51" applyFont="1" applyFill="1" applyAlignment="1">
      <alignment horizontal="center" vertical="center" wrapText="1"/>
    </xf>
    <xf numFmtId="41" fontId="20" fillId="32" borderId="0" xfId="51" applyFont="1" applyFill="1" applyAlignment="1">
      <alignment horizontal="center" vertical="center" wrapText="1"/>
    </xf>
    <xf numFmtId="41" fontId="20" fillId="35" borderId="0" xfId="51" applyFont="1" applyFill="1" applyAlignment="1">
      <alignment horizontal="center" vertical="center" wrapText="1"/>
    </xf>
    <xf numFmtId="41" fontId="22" fillId="0" borderId="0" xfId="51" applyFont="1" applyAlignment="1">
      <alignment horizontal="center" vertical="center" wrapText="1"/>
    </xf>
    <xf numFmtId="41" fontId="20" fillId="36" borderId="0" xfId="51" applyFont="1" applyFill="1" applyAlignment="1">
      <alignment horizontal="center" vertical="center" wrapText="1"/>
    </xf>
    <xf numFmtId="41" fontId="16" fillId="0" borderId="0" xfId="51" applyFont="1"/>
    <xf numFmtId="41" fontId="1" fillId="0" borderId="11" xfId="51" applyFont="1" applyBorder="1" applyAlignment="1">
      <alignment horizontal="center"/>
    </xf>
    <xf numFmtId="41" fontId="1" fillId="0" borderId="12" xfId="51" applyFont="1" applyBorder="1" applyAlignment="1">
      <alignment horizontal="center"/>
    </xf>
    <xf numFmtId="41" fontId="1" fillId="0" borderId="10" xfId="51" applyFont="1" applyBorder="1" applyAlignment="1">
      <alignment horizontal="center"/>
    </xf>
    <xf numFmtId="167" fontId="1" fillId="0" borderId="10" xfId="50" applyNumberFormat="1" applyFon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1" fontId="1" fillId="0" borderId="15" xfId="51" applyFont="1" applyBorder="1" applyAlignment="1">
      <alignment horizontal="center"/>
    </xf>
    <xf numFmtId="167" fontId="20" fillId="35" borderId="10" xfId="5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41" fontId="26" fillId="0" borderId="0" xfId="51" applyFont="1"/>
    <xf numFmtId="0" fontId="26" fillId="32" borderId="0" xfId="0" applyFont="1" applyFill="1"/>
    <xf numFmtId="41" fontId="0" fillId="0" borderId="0" xfId="51" applyFont="1" applyFill="1"/>
    <xf numFmtId="41" fontId="26" fillId="0" borderId="0" xfId="51" applyFont="1" applyFill="1"/>
    <xf numFmtId="41" fontId="28" fillId="0" borderId="0" xfId="51" applyFont="1"/>
    <xf numFmtId="41" fontId="28" fillId="0" borderId="0" xfId="51" applyFont="1" applyFill="1"/>
    <xf numFmtId="0" fontId="0" fillId="34" borderId="0" xfId="0" applyFill="1"/>
    <xf numFmtId="41" fontId="0" fillId="35" borderId="0" xfId="51" applyFont="1" applyFill="1"/>
    <xf numFmtId="41" fontId="25" fillId="0" borderId="13" xfId="51" applyFont="1" applyBorder="1" applyAlignment="1">
      <alignment horizontal="center"/>
    </xf>
    <xf numFmtId="41" fontId="25" fillId="0" borderId="14" xfId="51" applyFont="1" applyBorder="1" applyAlignment="1">
      <alignment horizontal="center"/>
    </xf>
    <xf numFmtId="41" fontId="1" fillId="0" borderId="13" xfId="51" applyFont="1" applyBorder="1" applyAlignment="1">
      <alignment horizontal="center"/>
    </xf>
    <xf numFmtId="41" fontId="1" fillId="0" borderId="14" xfId="51" applyFont="1" applyBorder="1" applyAlignment="1">
      <alignment horizontal="center"/>
    </xf>
    <xf numFmtId="41" fontId="1" fillId="0" borderId="13" xfId="51" applyFont="1" applyBorder="1" applyAlignment="1">
      <alignment horizontal="right"/>
    </xf>
    <xf numFmtId="41" fontId="1" fillId="0" borderId="14" xfId="51" applyFont="1" applyBorder="1" applyAlignment="1">
      <alignment horizontal="right"/>
    </xf>
    <xf numFmtId="41" fontId="0" fillId="37" borderId="0" xfId="51" applyFont="1" applyFill="1"/>
  </cellXfs>
  <cellStyles count="5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1 2" xfId="44" xr:uid="{E9D31189-7A5C-4F05-8E7A-73D3C8D89599}"/>
    <cellStyle name="60% - Énfasis2" xfId="14" builtinId="36" customBuiltin="1"/>
    <cellStyle name="60% - Énfasis2 2" xfId="45" xr:uid="{BE71BD83-9F64-43E3-B86A-7D9B2822329C}"/>
    <cellStyle name="60% - Énfasis3" xfId="15" builtinId="40" customBuiltin="1"/>
    <cellStyle name="60% - Énfasis3 2" xfId="46" xr:uid="{A7972AC7-E053-40B2-A404-B869EE289AC9}"/>
    <cellStyle name="60% - Énfasis4" xfId="16" builtinId="44" customBuiltin="1"/>
    <cellStyle name="60% - Énfasis4 2" xfId="47" xr:uid="{FB135BDC-5ABC-4085-9745-542A92297424}"/>
    <cellStyle name="60% - Énfasis5" xfId="17" builtinId="48" customBuiltin="1"/>
    <cellStyle name="60% - Énfasis5 2" xfId="48" xr:uid="{793ADD05-1A97-4120-B8B6-3332CD9AFDC2}"/>
    <cellStyle name="60% - Énfasis6" xfId="18" builtinId="52" customBuiltin="1"/>
    <cellStyle name="60% - Énfasis6 2" xfId="49" xr:uid="{1D3A2D62-655B-494F-AD91-4729B9C0D47A}"/>
    <cellStyle name="Bueno" xfId="42" builtinId="26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1" xfId="22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Millares" xfId="50" builtinId="3"/>
    <cellStyle name="Millares [0]" xfId="51" builtinId="6"/>
    <cellStyle name="Moneda [0]" xfId="41" builtinId="7"/>
    <cellStyle name="Neutral" xfId="32" builtinId="28" customBuiltin="1"/>
    <cellStyle name="Neutral 2" xfId="43" xr:uid="{B6177D98-B3DE-4891-8195-5C835CE7B5E0}"/>
    <cellStyle name="Normal" xfId="0" builtinId="0"/>
    <cellStyle name="Normal 2" xfId="52" xr:uid="{079863F6-30D6-4010-AC77-EA9844EFDCE2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5459-D30B-430C-9D96-41D1DF7CD484}">
  <dimension ref="A1:DD56"/>
  <sheetViews>
    <sheetView tabSelected="1" topLeftCell="K1" workbookViewId="0">
      <pane ySplit="1" topLeftCell="A38" activePane="bottomLeft" state="frozen"/>
      <selection activeCell="E12" sqref="E12"/>
      <selection pane="bottomLeft" activeCell="S48" sqref="S48"/>
    </sheetView>
  </sheetViews>
  <sheetFormatPr baseColWidth="10" defaultRowHeight="15"/>
  <cols>
    <col min="1" max="1" width="20.85546875" bestFit="1" customWidth="1"/>
    <col min="2" max="2" width="13.5703125" bestFit="1" customWidth="1"/>
    <col min="3" max="3" width="43.5703125" bestFit="1" customWidth="1"/>
    <col min="4" max="4" width="16.42578125" customWidth="1"/>
    <col min="5" max="5" width="6.85546875" customWidth="1"/>
    <col min="6" max="6" width="20.42578125" customWidth="1"/>
    <col min="7" max="7" width="50.7109375" customWidth="1"/>
    <col min="8" max="8" width="29.7109375" customWidth="1"/>
    <col min="9" max="10" width="11.5703125" style="37" customWidth="1"/>
    <col min="11" max="13" width="11.5703125" style="18" customWidth="1"/>
    <col min="14" max="14" width="10.85546875" style="18" customWidth="1"/>
    <col min="15" max="15" width="10" style="18" customWidth="1"/>
    <col min="16" max="22" width="11.5703125" style="18" customWidth="1"/>
    <col min="23" max="23" width="13.7109375" style="18" customWidth="1"/>
    <col min="24" max="24" width="11.5703125" style="18" customWidth="1"/>
    <col min="25" max="25" width="12.140625" style="18" customWidth="1"/>
    <col min="26" max="26" width="11.5703125" style="18" customWidth="1"/>
    <col min="27" max="27" width="10.140625" style="18" customWidth="1"/>
    <col min="28" max="28" width="11.5703125" style="18" customWidth="1"/>
    <col min="29" max="29" width="18.140625" bestFit="1" customWidth="1"/>
    <col min="30" max="30" width="13.42578125" bestFit="1" customWidth="1"/>
    <col min="31" max="31" width="9" bestFit="1" customWidth="1"/>
    <col min="32" max="32" width="8.5703125" bestFit="1" customWidth="1"/>
    <col min="33" max="33" width="48.5703125" bestFit="1" customWidth="1"/>
    <col min="34" max="34" width="18" bestFit="1" customWidth="1"/>
    <col min="35" max="35" width="16.7109375" bestFit="1" customWidth="1"/>
    <col min="36" max="36" width="20.7109375" bestFit="1" customWidth="1"/>
    <col min="37" max="37" width="14.7109375" bestFit="1" customWidth="1"/>
    <col min="38" max="38" width="19.28515625" bestFit="1" customWidth="1"/>
    <col min="39" max="39" width="34.85546875" bestFit="1" customWidth="1"/>
    <col min="40" max="40" width="15.28515625" bestFit="1" customWidth="1"/>
    <col min="41" max="41" width="19" bestFit="1" customWidth="1"/>
    <col min="42" max="42" width="10.140625" bestFit="1" customWidth="1"/>
    <col min="43" max="43" width="16.7109375" bestFit="1" customWidth="1"/>
    <col min="44" max="44" width="22.85546875" bestFit="1" customWidth="1"/>
    <col min="45" max="45" width="20.42578125" bestFit="1" customWidth="1"/>
    <col min="46" max="46" width="20.28515625" bestFit="1" customWidth="1"/>
    <col min="47" max="47" width="16.5703125" bestFit="1" customWidth="1"/>
    <col min="48" max="48" width="15.85546875" bestFit="1" customWidth="1"/>
    <col min="49" max="49" width="18.42578125" bestFit="1" customWidth="1"/>
    <col min="50" max="50" width="19.140625" bestFit="1" customWidth="1"/>
    <col min="51" max="51" width="17.85546875" bestFit="1" customWidth="1"/>
    <col min="52" max="52" width="149.42578125" bestFit="1" customWidth="1"/>
    <col min="53" max="53" width="16.140625" bestFit="1" customWidth="1"/>
    <col min="54" max="54" width="21.7109375" bestFit="1" customWidth="1"/>
    <col min="55" max="55" width="21.85546875" bestFit="1" customWidth="1"/>
    <col min="56" max="56" width="7.7109375" bestFit="1" customWidth="1"/>
    <col min="57" max="57" width="20.5703125" bestFit="1" customWidth="1"/>
    <col min="58" max="58" width="25.7109375" bestFit="1" customWidth="1"/>
    <col min="59" max="59" width="12.85546875" bestFit="1" customWidth="1"/>
    <col min="60" max="60" width="16.28515625" bestFit="1" customWidth="1"/>
    <col min="61" max="61" width="15" bestFit="1" customWidth="1"/>
    <col min="62" max="62" width="12" bestFit="1" customWidth="1"/>
    <col min="63" max="63" width="13.28515625" bestFit="1" customWidth="1"/>
    <col min="64" max="64" width="18.42578125" bestFit="1" customWidth="1"/>
    <col min="65" max="65" width="19.5703125" bestFit="1" customWidth="1"/>
    <col min="66" max="66" width="15.28515625" bestFit="1" customWidth="1"/>
    <col min="67" max="67" width="15" bestFit="1" customWidth="1"/>
    <col min="68" max="68" width="16.7109375" bestFit="1" customWidth="1"/>
    <col min="69" max="69" width="8.28515625" bestFit="1" customWidth="1"/>
    <col min="70" max="70" width="29.140625" bestFit="1" customWidth="1"/>
    <col min="71" max="71" width="16.7109375" bestFit="1" customWidth="1"/>
    <col min="72" max="72" width="16.42578125" bestFit="1" customWidth="1"/>
    <col min="73" max="73" width="18.140625" bestFit="1" customWidth="1"/>
    <col min="74" max="74" width="5.85546875" bestFit="1" customWidth="1"/>
    <col min="75" max="75" width="30.85546875" bestFit="1" customWidth="1"/>
    <col min="76" max="76" width="18.5703125" bestFit="1" customWidth="1"/>
    <col min="77" max="77" width="18.140625" bestFit="1" customWidth="1"/>
    <col min="78" max="78" width="20" bestFit="1" customWidth="1"/>
    <col min="79" max="79" width="5.85546875" bestFit="1" customWidth="1"/>
    <col min="80" max="80" width="17.7109375" bestFit="1" customWidth="1"/>
    <col min="81" max="81" width="23.7109375" bestFit="1" customWidth="1"/>
    <col min="82" max="82" width="20.42578125" bestFit="1" customWidth="1"/>
    <col min="83" max="83" width="22.140625" bestFit="1" customWidth="1"/>
    <col min="84" max="84" width="22.42578125" bestFit="1" customWidth="1"/>
    <col min="85" max="85" width="18.140625" bestFit="1" customWidth="1"/>
    <col min="86" max="86" width="16.7109375" bestFit="1" customWidth="1"/>
    <col min="87" max="87" width="16.42578125" bestFit="1" customWidth="1"/>
    <col min="88" max="88" width="35.140625" bestFit="1" customWidth="1"/>
    <col min="89" max="89" width="8.28515625" bestFit="1" customWidth="1"/>
    <col min="90" max="90" width="22" bestFit="1" customWidth="1"/>
    <col min="91" max="91" width="35.140625" bestFit="1" customWidth="1"/>
    <col min="92" max="92" width="14.42578125" bestFit="1" customWidth="1"/>
    <col min="93" max="93" width="15" bestFit="1" customWidth="1"/>
    <col min="94" max="94" width="14" bestFit="1" customWidth="1"/>
    <col min="95" max="95" width="13" bestFit="1" customWidth="1"/>
    <col min="96" max="96" width="20.85546875" bestFit="1" customWidth="1"/>
    <col min="97" max="97" width="23.5703125" bestFit="1" customWidth="1"/>
    <col min="98" max="98" width="13.42578125" bestFit="1" customWidth="1"/>
    <col min="99" max="99" width="28.85546875" bestFit="1" customWidth="1"/>
    <col min="100" max="100" width="18.5703125" bestFit="1" customWidth="1"/>
    <col min="101" max="101" width="22.42578125" bestFit="1" customWidth="1"/>
    <col min="102" max="103" width="17" bestFit="1" customWidth="1"/>
    <col min="104" max="105" width="16.5703125" bestFit="1" customWidth="1"/>
    <col min="106" max="106" width="8" bestFit="1" customWidth="1"/>
    <col min="107" max="107" width="8.28515625" bestFit="1" customWidth="1"/>
    <col min="108" max="108" width="14.85546875" bestFit="1" customWidth="1"/>
  </cols>
  <sheetData>
    <row r="1" spans="1:108" s="11" customFormat="1" ht="69.95" customHeight="1">
      <c r="A1" s="11" t="s">
        <v>0</v>
      </c>
      <c r="B1" s="11" t="s">
        <v>3</v>
      </c>
      <c r="C1" s="11" t="s">
        <v>352</v>
      </c>
      <c r="D1" s="11" t="s">
        <v>355</v>
      </c>
      <c r="E1" s="11" t="s">
        <v>360</v>
      </c>
      <c r="F1" s="11" t="s">
        <v>356</v>
      </c>
      <c r="G1" s="11" t="s">
        <v>2</v>
      </c>
      <c r="H1" s="11" t="s">
        <v>1</v>
      </c>
      <c r="I1" s="21" t="s">
        <v>1191</v>
      </c>
      <c r="J1" s="22" t="s">
        <v>1192</v>
      </c>
      <c r="K1" s="23" t="s">
        <v>1193</v>
      </c>
      <c r="L1" s="24" t="s">
        <v>1194</v>
      </c>
      <c r="M1" s="23" t="s">
        <v>1195</v>
      </c>
      <c r="N1" s="23" t="s">
        <v>1196</v>
      </c>
      <c r="O1" s="23" t="s">
        <v>1197</v>
      </c>
      <c r="P1" s="23" t="s">
        <v>1198</v>
      </c>
      <c r="Q1" s="23" t="s">
        <v>1199</v>
      </c>
      <c r="R1" s="24" t="s">
        <v>1200</v>
      </c>
      <c r="S1" s="23" t="s">
        <v>1201</v>
      </c>
      <c r="T1" s="24" t="s">
        <v>1202</v>
      </c>
      <c r="U1" s="23" t="s">
        <v>1203</v>
      </c>
      <c r="V1" s="24" t="s">
        <v>1204</v>
      </c>
      <c r="W1" s="23" t="s">
        <v>1205</v>
      </c>
      <c r="X1" s="24" t="s">
        <v>1206</v>
      </c>
      <c r="Y1" s="25" t="s">
        <v>1207</v>
      </c>
      <c r="Z1" s="26" t="s">
        <v>1208</v>
      </c>
      <c r="AA1" s="26" t="s">
        <v>1209</v>
      </c>
      <c r="AB1" s="27" t="s">
        <v>1210</v>
      </c>
      <c r="AC1" s="11" t="s">
        <v>338</v>
      </c>
      <c r="AD1" s="11" t="s">
        <v>339</v>
      </c>
      <c r="AE1" s="11" t="s">
        <v>340</v>
      </c>
      <c r="AF1" s="11" t="s">
        <v>341</v>
      </c>
      <c r="AG1" s="11" t="s">
        <v>342</v>
      </c>
      <c r="AH1" s="11" t="s">
        <v>343</v>
      </c>
      <c r="AI1" s="11" t="s">
        <v>344</v>
      </c>
      <c r="AJ1" s="11" t="s">
        <v>345</v>
      </c>
      <c r="AK1" s="11" t="s">
        <v>346</v>
      </c>
      <c r="AL1" s="11" t="s">
        <v>347</v>
      </c>
      <c r="AM1" s="11" t="s">
        <v>348</v>
      </c>
      <c r="AN1" s="11" t="s">
        <v>349</v>
      </c>
      <c r="AO1" s="11" t="s">
        <v>350</v>
      </c>
      <c r="AP1" s="11" t="s">
        <v>351</v>
      </c>
      <c r="AQ1" s="11" t="s">
        <v>353</v>
      </c>
      <c r="AR1" s="11" t="s">
        <v>354</v>
      </c>
      <c r="AS1" s="11" t="s">
        <v>357</v>
      </c>
      <c r="AT1" s="11" t="s">
        <v>358</v>
      </c>
      <c r="AU1" s="11" t="s">
        <v>359</v>
      </c>
      <c r="AV1" s="11" t="s">
        <v>361</v>
      </c>
      <c r="AW1" s="11" t="s">
        <v>362</v>
      </c>
      <c r="AX1" s="11" t="s">
        <v>363</v>
      </c>
      <c r="AY1" s="11" t="s">
        <v>364</v>
      </c>
      <c r="AZ1" s="11" t="s">
        <v>365</v>
      </c>
      <c r="BA1" s="11" t="s">
        <v>366</v>
      </c>
      <c r="BB1" s="11" t="s">
        <v>367</v>
      </c>
      <c r="BC1" s="11" t="s">
        <v>368</v>
      </c>
      <c r="BD1" s="11" t="s">
        <v>369</v>
      </c>
      <c r="BE1" s="11" t="s">
        <v>370</v>
      </c>
      <c r="BF1" s="11" t="s">
        <v>371</v>
      </c>
      <c r="BG1" s="11" t="s">
        <v>372</v>
      </c>
      <c r="BH1" s="11" t="s">
        <v>373</v>
      </c>
      <c r="BI1" s="11" t="s">
        <v>374</v>
      </c>
      <c r="BJ1" s="11" t="s">
        <v>375</v>
      </c>
      <c r="BK1" s="11" t="s">
        <v>376</v>
      </c>
      <c r="BL1" s="11" t="s">
        <v>377</v>
      </c>
      <c r="BM1" s="11" t="s">
        <v>378</v>
      </c>
      <c r="BN1" s="11" t="s">
        <v>379</v>
      </c>
      <c r="BO1" s="11" t="s">
        <v>380</v>
      </c>
      <c r="BP1" s="11" t="s">
        <v>381</v>
      </c>
      <c r="BQ1" s="11" t="s">
        <v>382</v>
      </c>
      <c r="BR1" s="11" t="s">
        <v>383</v>
      </c>
      <c r="BS1" s="11" t="s">
        <v>384</v>
      </c>
      <c r="BT1" s="11" t="s">
        <v>385</v>
      </c>
      <c r="BU1" s="11" t="s">
        <v>386</v>
      </c>
      <c r="BV1" s="11" t="s">
        <v>387</v>
      </c>
      <c r="BW1" s="11" t="s">
        <v>388</v>
      </c>
      <c r="BX1" s="11" t="s">
        <v>389</v>
      </c>
      <c r="BY1" s="11" t="s">
        <v>390</v>
      </c>
      <c r="BZ1" s="11" t="s">
        <v>391</v>
      </c>
      <c r="CA1" s="11" t="s">
        <v>392</v>
      </c>
      <c r="CB1" s="11" t="s">
        <v>393</v>
      </c>
      <c r="CC1" s="11" t="s">
        <v>394</v>
      </c>
      <c r="CD1" s="11" t="s">
        <v>395</v>
      </c>
      <c r="CE1" s="11" t="s">
        <v>396</v>
      </c>
      <c r="CF1" s="11" t="s">
        <v>397</v>
      </c>
      <c r="CG1" s="11" t="s">
        <v>398</v>
      </c>
      <c r="CH1" s="11" t="s">
        <v>399</v>
      </c>
      <c r="CI1" s="11" t="s">
        <v>400</v>
      </c>
      <c r="CJ1" s="11" t="s">
        <v>401</v>
      </c>
      <c r="CK1" s="11" t="s">
        <v>402</v>
      </c>
      <c r="CL1" s="11" t="s">
        <v>403</v>
      </c>
      <c r="CM1" s="11" t="s">
        <v>404</v>
      </c>
      <c r="CN1" s="11" t="s">
        <v>405</v>
      </c>
      <c r="CO1" s="11" t="s">
        <v>406</v>
      </c>
      <c r="CP1" s="11" t="s">
        <v>407</v>
      </c>
      <c r="CQ1" s="11" t="s">
        <v>408</v>
      </c>
      <c r="CR1" s="11" t="s">
        <v>409</v>
      </c>
      <c r="CS1" s="11" t="s">
        <v>410</v>
      </c>
      <c r="CT1" s="11" t="s">
        <v>411</v>
      </c>
      <c r="CU1" s="11" t="s">
        <v>412</v>
      </c>
      <c r="CV1" s="11" t="s">
        <v>413</v>
      </c>
      <c r="CW1" s="11" t="s">
        <v>414</v>
      </c>
      <c r="CX1" s="11" t="s">
        <v>415</v>
      </c>
      <c r="CY1" s="11" t="s">
        <v>416</v>
      </c>
      <c r="CZ1" s="11" t="s">
        <v>417</v>
      </c>
      <c r="DA1" s="11" t="s">
        <v>418</v>
      </c>
      <c r="DB1" s="11" t="s">
        <v>419</v>
      </c>
      <c r="DC1" s="11" t="s">
        <v>420</v>
      </c>
      <c r="DD1" s="11" t="s">
        <v>421</v>
      </c>
    </row>
    <row r="2" spans="1:108">
      <c r="A2" t="s">
        <v>4</v>
      </c>
      <c r="B2" t="s">
        <v>6</v>
      </c>
      <c r="C2" t="s">
        <v>106</v>
      </c>
      <c r="D2" t="s">
        <v>107</v>
      </c>
      <c r="E2">
        <v>2025</v>
      </c>
      <c r="F2" t="s">
        <v>108</v>
      </c>
      <c r="G2" t="s">
        <v>105</v>
      </c>
      <c r="H2" t="s">
        <v>5</v>
      </c>
      <c r="I2" s="37" t="s">
        <v>1214</v>
      </c>
      <c r="J2" s="37" t="s">
        <v>1220</v>
      </c>
      <c r="K2" s="18">
        <f t="shared" ref="K2:K48" si="0">BA2</f>
        <v>13320731</v>
      </c>
      <c r="L2" s="44">
        <v>90000</v>
      </c>
      <c r="M2" s="18">
        <f t="shared" ref="M2:M48" si="1">BT2</f>
        <v>564820</v>
      </c>
      <c r="P2" s="18">
        <f t="shared" ref="P2:P48" si="2">CU2</f>
        <v>12312719</v>
      </c>
      <c r="Q2" s="18">
        <f t="shared" ref="Q2:Q9" si="3">R2*1.19</f>
        <v>1199999.5699999998</v>
      </c>
      <c r="R2" s="44">
        <v>1008403</v>
      </c>
      <c r="S2" s="18">
        <f t="shared" ref="S2:S48" si="4">T2*1.19</f>
        <v>999999.84</v>
      </c>
      <c r="T2" s="44">
        <v>840336</v>
      </c>
      <c r="U2" s="18">
        <v>150000</v>
      </c>
      <c r="V2" s="44">
        <f t="shared" ref="V2:V11" si="5">U2/1.19</f>
        <v>126050.42016806723</v>
      </c>
      <c r="W2" s="18">
        <f t="shared" ref="W2:W18" si="6">X2*1.19</f>
        <v>0</v>
      </c>
      <c r="X2" s="42"/>
      <c r="Y2" s="47">
        <f t="shared" ref="Y2:Y48" si="7">-K2-L2-M2-N2+O2+P2+R2+T2+V2+X2</f>
        <v>311957.42016806721</v>
      </c>
      <c r="Z2" s="40">
        <f>VLOOKUP(D2,'Archivo con Bonos Ingresados '!V:CB,59,0)</f>
        <v>311957</v>
      </c>
      <c r="AA2" s="18">
        <f t="shared" ref="AA2:AA49" si="8">Z2-Y2</f>
        <v>-0.42016806721221656</v>
      </c>
      <c r="AB2" s="18">
        <f t="shared" ref="AB2:AB48" si="9">Y2*100/CU2</f>
        <v>2.533619261253889</v>
      </c>
      <c r="AC2" t="s">
        <v>502</v>
      </c>
      <c r="AD2">
        <v>5896</v>
      </c>
      <c r="AE2">
        <v>17833721</v>
      </c>
      <c r="AF2" t="s">
        <v>503</v>
      </c>
      <c r="AG2" t="s">
        <v>504</v>
      </c>
      <c r="AH2" t="s">
        <v>505</v>
      </c>
      <c r="AI2" t="s">
        <v>426</v>
      </c>
      <c r="AJ2" t="s">
        <v>426</v>
      </c>
      <c r="AK2" t="s">
        <v>506</v>
      </c>
      <c r="AL2" t="s">
        <v>507</v>
      </c>
      <c r="AM2" t="s">
        <v>508</v>
      </c>
      <c r="AN2" t="s">
        <v>426</v>
      </c>
      <c r="AO2" t="s">
        <v>509</v>
      </c>
      <c r="AP2" t="s">
        <v>510</v>
      </c>
      <c r="AQ2" t="s">
        <v>511</v>
      </c>
      <c r="AR2" t="s">
        <v>7</v>
      </c>
      <c r="AS2" t="s">
        <v>108</v>
      </c>
      <c r="AT2" t="s">
        <v>108</v>
      </c>
      <c r="AU2" t="s">
        <v>433</v>
      </c>
      <c r="AV2" t="s">
        <v>434</v>
      </c>
      <c r="AW2">
        <v>19841</v>
      </c>
      <c r="AX2" t="s">
        <v>435</v>
      </c>
      <c r="AY2" t="s">
        <v>426</v>
      </c>
      <c r="AZ2" t="s">
        <v>512</v>
      </c>
      <c r="BA2">
        <v>13320731</v>
      </c>
      <c r="BB2" t="s">
        <v>513</v>
      </c>
      <c r="BC2" t="s">
        <v>426</v>
      </c>
      <c r="BD2">
        <v>0</v>
      </c>
      <c r="BE2" t="s">
        <v>437</v>
      </c>
      <c r="BF2" t="s">
        <v>513</v>
      </c>
      <c r="BG2" t="s">
        <v>438</v>
      </c>
      <c r="BH2" t="s">
        <v>439</v>
      </c>
      <c r="BI2" t="s">
        <v>426</v>
      </c>
      <c r="BJ2">
        <v>0</v>
      </c>
      <c r="BK2">
        <v>14277311</v>
      </c>
      <c r="BL2">
        <v>-2100840</v>
      </c>
      <c r="BM2">
        <v>-428571</v>
      </c>
      <c r="BN2">
        <v>11747899</v>
      </c>
      <c r="BO2">
        <v>13320731</v>
      </c>
      <c r="BP2">
        <v>-1572832</v>
      </c>
      <c r="BQ2" t="s">
        <v>514</v>
      </c>
      <c r="BR2">
        <v>0</v>
      </c>
      <c r="BS2">
        <v>564820</v>
      </c>
      <c r="BT2">
        <v>564820</v>
      </c>
      <c r="BU2">
        <v>0</v>
      </c>
      <c r="BV2" t="s">
        <v>441</v>
      </c>
      <c r="BW2">
        <v>0</v>
      </c>
      <c r="BX2">
        <v>0</v>
      </c>
      <c r="BY2">
        <v>0</v>
      </c>
      <c r="BZ2">
        <v>0</v>
      </c>
      <c r="CA2" t="s">
        <v>441</v>
      </c>
      <c r="CB2">
        <v>0</v>
      </c>
      <c r="CC2">
        <v>0</v>
      </c>
      <c r="CD2">
        <v>0</v>
      </c>
      <c r="CE2">
        <v>0</v>
      </c>
      <c r="CF2" t="s">
        <v>441</v>
      </c>
      <c r="CG2">
        <v>12176471</v>
      </c>
      <c r="CH2">
        <v>12312719</v>
      </c>
      <c r="CI2">
        <v>13885551</v>
      </c>
      <c r="CJ2">
        <v>-1572832</v>
      </c>
      <c r="CK2" t="s">
        <v>515</v>
      </c>
      <c r="CL2">
        <v>-1572832</v>
      </c>
      <c r="CM2" t="s">
        <v>515</v>
      </c>
      <c r="CN2">
        <v>0</v>
      </c>
      <c r="CO2">
        <v>0</v>
      </c>
      <c r="CP2">
        <v>14544820</v>
      </c>
      <c r="CQ2">
        <v>0</v>
      </c>
      <c r="CR2">
        <v>564820</v>
      </c>
      <c r="CS2">
        <v>0</v>
      </c>
      <c r="CT2">
        <v>14544820</v>
      </c>
      <c r="CU2">
        <v>12312719</v>
      </c>
      <c r="CV2" s="2">
        <v>-1572832</v>
      </c>
      <c r="CW2" t="s">
        <v>515</v>
      </c>
      <c r="CX2" t="s">
        <v>426</v>
      </c>
      <c r="CY2">
        <v>0</v>
      </c>
      <c r="CZ2" t="s">
        <v>426</v>
      </c>
      <c r="DA2">
        <v>0</v>
      </c>
      <c r="DB2">
        <v>0</v>
      </c>
      <c r="DC2">
        <v>0</v>
      </c>
      <c r="DD2" t="s">
        <v>426</v>
      </c>
    </row>
    <row r="3" spans="1:108">
      <c r="A3" t="s">
        <v>32</v>
      </c>
      <c r="B3" t="s">
        <v>36</v>
      </c>
      <c r="C3" t="s">
        <v>192</v>
      </c>
      <c r="D3" t="s">
        <v>193</v>
      </c>
      <c r="E3">
        <v>2025</v>
      </c>
      <c r="F3" t="s">
        <v>194</v>
      </c>
      <c r="G3" t="s">
        <v>191</v>
      </c>
      <c r="H3" t="s">
        <v>33</v>
      </c>
      <c r="I3" s="37" t="s">
        <v>1214</v>
      </c>
      <c r="J3" s="37" t="s">
        <v>1219</v>
      </c>
      <c r="K3" s="18">
        <f t="shared" si="0"/>
        <v>19586800</v>
      </c>
      <c r="L3" s="44">
        <v>235000</v>
      </c>
      <c r="M3" s="18">
        <f t="shared" si="1"/>
        <v>658602</v>
      </c>
      <c r="P3" s="18">
        <f t="shared" si="2"/>
        <v>19130902</v>
      </c>
      <c r="Q3" s="18">
        <f t="shared" si="3"/>
        <v>2026808</v>
      </c>
      <c r="R3" s="44">
        <v>1703200</v>
      </c>
      <c r="S3" s="18">
        <f t="shared" si="4"/>
        <v>0</v>
      </c>
      <c r="V3" s="18">
        <f t="shared" si="5"/>
        <v>0</v>
      </c>
      <c r="W3" s="18">
        <f t="shared" si="6"/>
        <v>0</v>
      </c>
      <c r="Y3" s="47">
        <f t="shared" si="7"/>
        <v>353700</v>
      </c>
      <c r="Z3" s="40">
        <f>VLOOKUP(D3,'Archivo con Bonos Ingresados '!V:CB,59,0)</f>
        <v>353700</v>
      </c>
      <c r="AA3" s="18">
        <f t="shared" si="8"/>
        <v>0</v>
      </c>
      <c r="AB3" s="18">
        <f t="shared" si="9"/>
        <v>1.848841209891724</v>
      </c>
      <c r="AC3" t="s">
        <v>833</v>
      </c>
      <c r="AD3">
        <v>5911</v>
      </c>
      <c r="AE3">
        <v>76692680</v>
      </c>
      <c r="AF3" t="s">
        <v>611</v>
      </c>
      <c r="AG3" t="s">
        <v>834</v>
      </c>
      <c r="AH3" t="s">
        <v>426</v>
      </c>
      <c r="AI3" t="s">
        <v>835</v>
      </c>
      <c r="AJ3" t="s">
        <v>426</v>
      </c>
      <c r="AK3" t="s">
        <v>816</v>
      </c>
      <c r="AL3" t="s">
        <v>836</v>
      </c>
      <c r="AM3" t="s">
        <v>837</v>
      </c>
      <c r="AP3" t="s">
        <v>787</v>
      </c>
      <c r="AQ3" t="s">
        <v>192</v>
      </c>
      <c r="AR3" t="s">
        <v>51</v>
      </c>
      <c r="AS3" t="s">
        <v>194</v>
      </c>
      <c r="AT3" t="s">
        <v>194</v>
      </c>
      <c r="AU3" t="s">
        <v>433</v>
      </c>
      <c r="AV3" t="s">
        <v>584</v>
      </c>
      <c r="AW3">
        <v>19862</v>
      </c>
      <c r="AX3" t="s">
        <v>493</v>
      </c>
      <c r="AY3" t="s">
        <v>426</v>
      </c>
      <c r="AZ3" t="s">
        <v>838</v>
      </c>
      <c r="BA3">
        <v>19586800</v>
      </c>
      <c r="BB3" t="s">
        <v>493</v>
      </c>
      <c r="BD3">
        <v>0</v>
      </c>
      <c r="BE3" t="s">
        <v>543</v>
      </c>
      <c r="BF3" t="s">
        <v>493</v>
      </c>
      <c r="BG3" t="s">
        <v>499</v>
      </c>
      <c r="BH3" t="s">
        <v>439</v>
      </c>
      <c r="BI3" t="s">
        <v>426</v>
      </c>
      <c r="BJ3">
        <v>109</v>
      </c>
      <c r="BK3">
        <v>21290000</v>
      </c>
      <c r="BL3">
        <v>-2767700</v>
      </c>
      <c r="BM3">
        <v>-50000</v>
      </c>
      <c r="BN3">
        <v>18472300</v>
      </c>
      <c r="BO3">
        <v>19586800</v>
      </c>
      <c r="BP3">
        <v>-1114500</v>
      </c>
      <c r="BQ3" t="s">
        <v>839</v>
      </c>
      <c r="BR3">
        <v>0</v>
      </c>
      <c r="BS3">
        <v>658602</v>
      </c>
      <c r="BT3">
        <v>658602</v>
      </c>
      <c r="BU3">
        <v>0</v>
      </c>
      <c r="BV3" t="s">
        <v>441</v>
      </c>
      <c r="BW3">
        <v>0</v>
      </c>
      <c r="BX3">
        <v>0</v>
      </c>
      <c r="BY3">
        <v>0</v>
      </c>
      <c r="BZ3">
        <v>0</v>
      </c>
      <c r="CA3" t="s">
        <v>441</v>
      </c>
      <c r="CB3">
        <v>0</v>
      </c>
      <c r="CC3">
        <v>0</v>
      </c>
      <c r="CD3">
        <v>0</v>
      </c>
      <c r="CE3">
        <v>0</v>
      </c>
      <c r="CF3" t="s">
        <v>441</v>
      </c>
      <c r="CG3">
        <v>18522300</v>
      </c>
      <c r="CH3">
        <v>19130902</v>
      </c>
      <c r="CI3">
        <v>20245402</v>
      </c>
      <c r="CJ3">
        <v>-1114500</v>
      </c>
      <c r="CK3" t="s">
        <v>840</v>
      </c>
      <c r="CL3">
        <v>-1114500</v>
      </c>
      <c r="CM3" t="s">
        <v>840</v>
      </c>
      <c r="CN3">
        <v>0</v>
      </c>
      <c r="CO3">
        <v>0</v>
      </c>
      <c r="CP3">
        <v>22640639</v>
      </c>
      <c r="CQ3">
        <v>0</v>
      </c>
      <c r="CR3">
        <v>658602</v>
      </c>
      <c r="CS3">
        <v>0</v>
      </c>
      <c r="CT3">
        <v>22640639</v>
      </c>
      <c r="CU3">
        <v>19130902</v>
      </c>
      <c r="CV3" s="2">
        <v>-1114500</v>
      </c>
      <c r="CW3" t="s">
        <v>840</v>
      </c>
      <c r="CX3" t="s">
        <v>426</v>
      </c>
      <c r="CY3">
        <v>0</v>
      </c>
      <c r="CZ3" t="s">
        <v>426</v>
      </c>
      <c r="DA3">
        <v>0</v>
      </c>
      <c r="DB3">
        <v>0</v>
      </c>
      <c r="DC3">
        <v>0</v>
      </c>
      <c r="DD3" t="s">
        <v>426</v>
      </c>
    </row>
    <row r="4" spans="1:108">
      <c r="A4" t="s">
        <v>4</v>
      </c>
      <c r="B4" t="s">
        <v>6</v>
      </c>
      <c r="C4" t="s">
        <v>17</v>
      </c>
      <c r="D4" t="s">
        <v>162</v>
      </c>
      <c r="E4">
        <v>2025</v>
      </c>
      <c r="F4" t="s">
        <v>163</v>
      </c>
      <c r="G4" t="s">
        <v>161</v>
      </c>
      <c r="H4" t="s">
        <v>8</v>
      </c>
      <c r="I4" s="37" t="s">
        <v>1214</v>
      </c>
      <c r="J4" s="37" t="s">
        <v>1219</v>
      </c>
      <c r="K4" s="18">
        <f t="shared" si="0"/>
        <v>17651815</v>
      </c>
      <c r="L4" s="44">
        <v>175000</v>
      </c>
      <c r="M4" s="18">
        <f t="shared" si="1"/>
        <v>977613</v>
      </c>
      <c r="P4" s="18">
        <f t="shared" si="2"/>
        <v>18338958</v>
      </c>
      <c r="Q4" s="18">
        <f t="shared" si="3"/>
        <v>1449999.53</v>
      </c>
      <c r="R4" s="44">
        <v>1218487</v>
      </c>
      <c r="S4" s="18">
        <f t="shared" si="4"/>
        <v>0</v>
      </c>
      <c r="T4" s="42"/>
      <c r="V4" s="18">
        <f t="shared" si="5"/>
        <v>0</v>
      </c>
      <c r="W4" s="18">
        <f t="shared" si="6"/>
        <v>224900.47999999998</v>
      </c>
      <c r="X4" s="44">
        <v>188992</v>
      </c>
      <c r="Y4" s="47">
        <f t="shared" si="7"/>
        <v>942009</v>
      </c>
      <c r="Z4" s="40">
        <f>VLOOKUP(D4,'Archivo con Bonos Ingresados '!V:CB,59,0)</f>
        <v>942009</v>
      </c>
      <c r="AA4" s="18">
        <f t="shared" si="8"/>
        <v>0</v>
      </c>
      <c r="AB4" s="18">
        <f t="shared" si="9"/>
        <v>5.1366549833420194</v>
      </c>
      <c r="AC4" t="s">
        <v>752</v>
      </c>
      <c r="AD4">
        <v>5958</v>
      </c>
      <c r="AE4">
        <v>15313830</v>
      </c>
      <c r="AF4" t="s">
        <v>423</v>
      </c>
      <c r="AG4" t="s">
        <v>753</v>
      </c>
      <c r="AH4" t="s">
        <v>426</v>
      </c>
      <c r="AI4" t="s">
        <v>754</v>
      </c>
      <c r="AJ4" t="s">
        <v>426</v>
      </c>
      <c r="AK4" t="s">
        <v>488</v>
      </c>
      <c r="AL4" t="s">
        <v>475</v>
      </c>
      <c r="AM4" t="s">
        <v>755</v>
      </c>
      <c r="AN4" t="s">
        <v>426</v>
      </c>
      <c r="AO4" t="s">
        <v>430</v>
      </c>
      <c r="AP4" t="s">
        <v>431</v>
      </c>
      <c r="AQ4" t="s">
        <v>552</v>
      </c>
      <c r="AR4" t="s">
        <v>26</v>
      </c>
      <c r="AS4" t="s">
        <v>163</v>
      </c>
      <c r="AT4" t="s">
        <v>163</v>
      </c>
      <c r="AU4" t="s">
        <v>433</v>
      </c>
      <c r="AV4" t="s">
        <v>584</v>
      </c>
      <c r="AW4">
        <v>19918</v>
      </c>
      <c r="AX4" t="s">
        <v>722</v>
      </c>
      <c r="AY4" t="s">
        <v>426</v>
      </c>
      <c r="AZ4" t="s">
        <v>756</v>
      </c>
      <c r="BA4">
        <v>17651815</v>
      </c>
      <c r="BB4" t="s">
        <v>722</v>
      </c>
      <c r="BC4" t="s">
        <v>426</v>
      </c>
      <c r="BD4">
        <v>0</v>
      </c>
      <c r="BE4" t="s">
        <v>565</v>
      </c>
      <c r="BF4" t="s">
        <v>722</v>
      </c>
      <c r="BG4" t="s">
        <v>481</v>
      </c>
      <c r="BH4" t="s">
        <v>439</v>
      </c>
      <c r="BI4" t="s">
        <v>426</v>
      </c>
      <c r="BJ4">
        <v>39</v>
      </c>
      <c r="BK4">
        <v>18899160</v>
      </c>
      <c r="BL4">
        <v>-1218487</v>
      </c>
      <c r="BM4">
        <v>-571429</v>
      </c>
      <c r="BN4">
        <v>17109244</v>
      </c>
      <c r="BO4">
        <v>17651815</v>
      </c>
      <c r="BP4">
        <v>-542571</v>
      </c>
      <c r="BQ4" t="s">
        <v>757</v>
      </c>
      <c r="BR4">
        <v>0</v>
      </c>
      <c r="BS4">
        <v>977613</v>
      </c>
      <c r="BT4">
        <v>977613</v>
      </c>
      <c r="BU4">
        <v>0</v>
      </c>
      <c r="BV4" t="s">
        <v>441</v>
      </c>
      <c r="BW4">
        <v>55336</v>
      </c>
      <c r="BX4">
        <v>252101</v>
      </c>
      <c r="BY4">
        <v>0</v>
      </c>
      <c r="BZ4">
        <v>0</v>
      </c>
      <c r="CA4" t="s">
        <v>441</v>
      </c>
      <c r="CB4">
        <v>0</v>
      </c>
      <c r="CC4">
        <v>0</v>
      </c>
      <c r="CD4">
        <v>0</v>
      </c>
      <c r="CE4">
        <v>0</v>
      </c>
      <c r="CF4" t="s">
        <v>441</v>
      </c>
      <c r="CG4">
        <v>17680673</v>
      </c>
      <c r="CH4">
        <v>18338958</v>
      </c>
      <c r="CI4">
        <v>18629428</v>
      </c>
      <c r="CJ4">
        <v>-290470</v>
      </c>
      <c r="CK4" t="s">
        <v>758</v>
      </c>
      <c r="CL4">
        <v>-290470</v>
      </c>
      <c r="CM4" t="s">
        <v>758</v>
      </c>
      <c r="CN4">
        <v>0</v>
      </c>
      <c r="CO4">
        <v>0</v>
      </c>
      <c r="CP4">
        <v>21637613</v>
      </c>
      <c r="CQ4">
        <v>0</v>
      </c>
      <c r="CR4">
        <v>977613</v>
      </c>
      <c r="CS4">
        <v>252101</v>
      </c>
      <c r="CT4">
        <v>21637614</v>
      </c>
      <c r="CU4">
        <v>18338958</v>
      </c>
      <c r="CV4" s="2">
        <v>-290470</v>
      </c>
      <c r="CW4" t="s">
        <v>758</v>
      </c>
      <c r="CX4" t="s">
        <v>426</v>
      </c>
      <c r="CY4">
        <v>0</v>
      </c>
      <c r="CZ4" t="s">
        <v>426</v>
      </c>
      <c r="DA4">
        <v>0</v>
      </c>
      <c r="DB4">
        <v>0</v>
      </c>
      <c r="DC4">
        <v>0</v>
      </c>
      <c r="DD4" t="s">
        <v>426</v>
      </c>
    </row>
    <row r="5" spans="1:108">
      <c r="A5" t="s">
        <v>4</v>
      </c>
      <c r="B5" t="s">
        <v>6</v>
      </c>
      <c r="C5" t="s">
        <v>24</v>
      </c>
      <c r="D5" t="s">
        <v>139</v>
      </c>
      <c r="E5">
        <v>2025</v>
      </c>
      <c r="F5" t="s">
        <v>140</v>
      </c>
      <c r="G5" t="s">
        <v>138</v>
      </c>
      <c r="H5" t="s">
        <v>8</v>
      </c>
      <c r="I5" s="39" t="s">
        <v>1214</v>
      </c>
      <c r="J5" s="37" t="s">
        <v>1219</v>
      </c>
      <c r="K5" s="18">
        <f t="shared" si="0"/>
        <v>11047360</v>
      </c>
      <c r="L5" s="18">
        <v>90000</v>
      </c>
      <c r="M5" s="18">
        <f t="shared" si="1"/>
        <v>0</v>
      </c>
      <c r="P5" s="18">
        <f t="shared" si="2"/>
        <v>11344538</v>
      </c>
      <c r="Q5" s="42">
        <f t="shared" si="3"/>
        <v>1487500</v>
      </c>
      <c r="R5" s="45">
        <v>1250000</v>
      </c>
      <c r="S5" s="18">
        <f t="shared" si="4"/>
        <v>0</v>
      </c>
      <c r="V5" s="18">
        <f t="shared" si="5"/>
        <v>0</v>
      </c>
      <c r="W5" s="18">
        <f t="shared" si="6"/>
        <v>0</v>
      </c>
      <c r="Y5" s="47">
        <f t="shared" si="7"/>
        <v>1457178</v>
      </c>
      <c r="Z5" s="40">
        <f>VLOOKUP(D5,'Archivo con Bonos Ingresados '!V:CB,59,0)</f>
        <v>1457178</v>
      </c>
      <c r="AA5" s="18">
        <f t="shared" si="8"/>
        <v>0</v>
      </c>
      <c r="AB5" s="18">
        <f t="shared" si="9"/>
        <v>12.844754012900305</v>
      </c>
      <c r="AC5" t="s">
        <v>646</v>
      </c>
      <c r="AD5">
        <v>5926</v>
      </c>
      <c r="AE5">
        <v>76937697</v>
      </c>
      <c r="AF5" t="s">
        <v>458</v>
      </c>
      <c r="AG5" t="s">
        <v>647</v>
      </c>
      <c r="AH5" t="s">
        <v>648</v>
      </c>
      <c r="AI5" t="s">
        <v>426</v>
      </c>
      <c r="AJ5" t="s">
        <v>426</v>
      </c>
      <c r="AK5" t="s">
        <v>649</v>
      </c>
      <c r="AL5" t="s">
        <v>650</v>
      </c>
      <c r="AM5" t="s">
        <v>651</v>
      </c>
      <c r="AN5" t="s">
        <v>426</v>
      </c>
      <c r="AO5" t="s">
        <v>490</v>
      </c>
      <c r="AP5" t="s">
        <v>491</v>
      </c>
      <c r="AQ5" t="s">
        <v>492</v>
      </c>
      <c r="AR5" t="s">
        <v>7</v>
      </c>
      <c r="AS5" t="s">
        <v>140</v>
      </c>
      <c r="AT5" t="s">
        <v>140</v>
      </c>
      <c r="AU5" t="s">
        <v>433</v>
      </c>
      <c r="AV5" t="s">
        <v>434</v>
      </c>
      <c r="AW5">
        <v>19936</v>
      </c>
      <c r="AX5" t="s">
        <v>652</v>
      </c>
      <c r="AY5" t="s">
        <v>426</v>
      </c>
      <c r="AZ5" t="s">
        <v>653</v>
      </c>
      <c r="BA5">
        <v>11047360</v>
      </c>
      <c r="BB5" t="s">
        <v>654</v>
      </c>
      <c r="BC5" t="s">
        <v>426</v>
      </c>
      <c r="BD5">
        <v>0</v>
      </c>
      <c r="BE5" t="s">
        <v>437</v>
      </c>
      <c r="BF5" t="s">
        <v>654</v>
      </c>
      <c r="BG5" t="s">
        <v>481</v>
      </c>
      <c r="BH5" t="s">
        <v>439</v>
      </c>
      <c r="BI5" t="s">
        <v>426</v>
      </c>
      <c r="BJ5">
        <v>0</v>
      </c>
      <c r="BK5">
        <v>12640000</v>
      </c>
      <c r="BL5">
        <v>-1295462</v>
      </c>
      <c r="BM5">
        <v>0</v>
      </c>
      <c r="BN5">
        <v>11344538</v>
      </c>
      <c r="BO5">
        <v>9797360</v>
      </c>
      <c r="BP5">
        <v>1547178</v>
      </c>
      <c r="BQ5" t="s">
        <v>655</v>
      </c>
      <c r="BR5">
        <v>0</v>
      </c>
      <c r="BS5">
        <v>0</v>
      </c>
      <c r="BT5">
        <v>0</v>
      </c>
      <c r="BU5">
        <v>0</v>
      </c>
      <c r="BV5" t="s">
        <v>441</v>
      </c>
      <c r="BW5">
        <v>0</v>
      </c>
      <c r="BX5">
        <v>0</v>
      </c>
      <c r="BY5">
        <v>0</v>
      </c>
      <c r="BZ5">
        <v>0</v>
      </c>
      <c r="CA5" t="s">
        <v>441</v>
      </c>
      <c r="CB5">
        <v>0</v>
      </c>
      <c r="CC5">
        <v>0</v>
      </c>
      <c r="CD5">
        <v>0</v>
      </c>
      <c r="CE5">
        <v>0</v>
      </c>
      <c r="CF5" t="s">
        <v>441</v>
      </c>
      <c r="CG5">
        <v>11344538</v>
      </c>
      <c r="CH5">
        <v>11344538</v>
      </c>
      <c r="CI5">
        <v>9797360</v>
      </c>
      <c r="CJ5">
        <v>1547178</v>
      </c>
      <c r="CK5" t="s">
        <v>655</v>
      </c>
      <c r="CL5">
        <v>1547178</v>
      </c>
      <c r="CM5" t="s">
        <v>655</v>
      </c>
      <c r="CN5">
        <v>0</v>
      </c>
      <c r="CO5">
        <v>0</v>
      </c>
      <c r="CP5">
        <v>13500000</v>
      </c>
      <c r="CQ5">
        <v>0</v>
      </c>
      <c r="CR5">
        <v>0</v>
      </c>
      <c r="CS5">
        <v>0</v>
      </c>
      <c r="CT5">
        <v>13500000</v>
      </c>
      <c r="CU5">
        <v>11344538</v>
      </c>
      <c r="CV5" s="2">
        <v>1547178</v>
      </c>
      <c r="CW5" t="s">
        <v>655</v>
      </c>
      <c r="CX5" t="s">
        <v>426</v>
      </c>
      <c r="CY5">
        <v>0</v>
      </c>
      <c r="CZ5" t="s">
        <v>426</v>
      </c>
      <c r="DA5">
        <v>0</v>
      </c>
      <c r="DB5">
        <v>1487500</v>
      </c>
      <c r="DC5">
        <v>0</v>
      </c>
      <c r="DD5" t="s">
        <v>426</v>
      </c>
    </row>
    <row r="6" spans="1:108">
      <c r="A6" t="s">
        <v>4</v>
      </c>
      <c r="B6" t="s">
        <v>6</v>
      </c>
      <c r="C6" t="s">
        <v>24</v>
      </c>
      <c r="D6" t="s">
        <v>110</v>
      </c>
      <c r="E6">
        <v>2025</v>
      </c>
      <c r="F6" t="s">
        <v>111</v>
      </c>
      <c r="G6" t="s">
        <v>109</v>
      </c>
      <c r="H6" t="s">
        <v>5</v>
      </c>
      <c r="I6" s="39" t="s">
        <v>1214</v>
      </c>
      <c r="J6" s="37" t="s">
        <v>1220</v>
      </c>
      <c r="K6" s="18">
        <f t="shared" si="0"/>
        <v>11047360</v>
      </c>
      <c r="L6" s="44">
        <v>90000</v>
      </c>
      <c r="M6" s="18">
        <f t="shared" si="1"/>
        <v>299330</v>
      </c>
      <c r="P6" s="18">
        <f t="shared" si="2"/>
        <v>10075330</v>
      </c>
      <c r="Q6" s="42">
        <f t="shared" si="3"/>
        <v>1487500</v>
      </c>
      <c r="R6" s="45">
        <v>1250000</v>
      </c>
      <c r="S6" s="18">
        <f t="shared" si="4"/>
        <v>0</v>
      </c>
      <c r="U6" s="18">
        <v>150000</v>
      </c>
      <c r="V6" s="44">
        <f t="shared" si="5"/>
        <v>126050.42016806723</v>
      </c>
      <c r="W6" s="18">
        <f t="shared" si="6"/>
        <v>499999.92</v>
      </c>
      <c r="X6" s="18">
        <v>420168</v>
      </c>
      <c r="Y6" s="47">
        <f t="shared" si="7"/>
        <v>434858.42016806721</v>
      </c>
      <c r="Z6" s="40">
        <f>VLOOKUP(D6,'Archivo con Bonos Ingresados '!V:CB,59,0)</f>
        <v>14690</v>
      </c>
      <c r="AA6" s="18">
        <f t="shared" si="8"/>
        <v>-420168.42016806721</v>
      </c>
      <c r="AB6" s="18">
        <f t="shared" si="9"/>
        <v>4.3160712370519594</v>
      </c>
      <c r="AC6" t="s">
        <v>516</v>
      </c>
      <c r="AD6">
        <v>5898</v>
      </c>
      <c r="AE6">
        <v>76193982</v>
      </c>
      <c r="AF6" t="s">
        <v>423</v>
      </c>
      <c r="AG6" t="s">
        <v>517</v>
      </c>
      <c r="AH6" t="s">
        <v>518</v>
      </c>
      <c r="AI6" t="s">
        <v>426</v>
      </c>
      <c r="AJ6" t="s">
        <v>426</v>
      </c>
      <c r="AK6" t="s">
        <v>488</v>
      </c>
      <c r="AL6" t="s">
        <v>426</v>
      </c>
      <c r="AM6" t="s">
        <v>519</v>
      </c>
      <c r="AN6" t="s">
        <v>426</v>
      </c>
      <c r="AO6" t="s">
        <v>490</v>
      </c>
      <c r="AP6" t="s">
        <v>491</v>
      </c>
      <c r="AQ6" t="s">
        <v>492</v>
      </c>
      <c r="AR6" t="s">
        <v>7</v>
      </c>
      <c r="AS6" t="s">
        <v>111</v>
      </c>
      <c r="AT6" t="s">
        <v>111</v>
      </c>
      <c r="AU6" t="s">
        <v>433</v>
      </c>
      <c r="AV6" t="s">
        <v>434</v>
      </c>
      <c r="AW6">
        <v>19852</v>
      </c>
      <c r="AX6" t="s">
        <v>520</v>
      </c>
      <c r="AY6" t="s">
        <v>426</v>
      </c>
      <c r="AZ6" t="s">
        <v>521</v>
      </c>
      <c r="BA6">
        <v>11047360</v>
      </c>
      <c r="BB6" t="s">
        <v>522</v>
      </c>
      <c r="BC6" t="s">
        <v>426</v>
      </c>
      <c r="BD6">
        <v>0</v>
      </c>
      <c r="BE6" t="s">
        <v>437</v>
      </c>
      <c r="BF6" t="s">
        <v>522</v>
      </c>
      <c r="BG6" t="s">
        <v>438</v>
      </c>
      <c r="BH6" t="s">
        <v>439</v>
      </c>
      <c r="BI6" t="s">
        <v>426</v>
      </c>
      <c r="BJ6">
        <v>0</v>
      </c>
      <c r="BK6">
        <v>12640000</v>
      </c>
      <c r="BL6">
        <v>-2050000</v>
      </c>
      <c r="BM6">
        <v>-814000</v>
      </c>
      <c r="BN6">
        <v>9776000</v>
      </c>
      <c r="BO6">
        <v>9797360</v>
      </c>
      <c r="BP6">
        <v>-21360</v>
      </c>
      <c r="BQ6" t="s">
        <v>523</v>
      </c>
      <c r="BR6">
        <v>0</v>
      </c>
      <c r="BS6">
        <v>299330</v>
      </c>
      <c r="BT6">
        <v>299330</v>
      </c>
      <c r="BU6">
        <v>0</v>
      </c>
      <c r="BV6" t="s">
        <v>441</v>
      </c>
      <c r="BW6">
        <v>0</v>
      </c>
      <c r="BX6">
        <v>0</v>
      </c>
      <c r="BY6">
        <v>0</v>
      </c>
      <c r="BZ6">
        <v>0</v>
      </c>
      <c r="CA6" t="s">
        <v>441</v>
      </c>
      <c r="CB6">
        <v>0</v>
      </c>
      <c r="CC6">
        <v>0</v>
      </c>
      <c r="CD6">
        <v>0</v>
      </c>
      <c r="CE6">
        <v>0</v>
      </c>
      <c r="CF6" t="s">
        <v>441</v>
      </c>
      <c r="CG6">
        <v>10590000</v>
      </c>
      <c r="CH6">
        <v>10075330</v>
      </c>
      <c r="CI6">
        <v>10096690</v>
      </c>
      <c r="CJ6">
        <v>-21360</v>
      </c>
      <c r="CK6" t="s">
        <v>524</v>
      </c>
      <c r="CL6">
        <v>-21360</v>
      </c>
      <c r="CM6" t="s">
        <v>524</v>
      </c>
      <c r="CN6">
        <v>0</v>
      </c>
      <c r="CO6">
        <v>0</v>
      </c>
      <c r="CP6">
        <v>11932770</v>
      </c>
      <c r="CQ6">
        <v>0</v>
      </c>
      <c r="CR6">
        <v>299330</v>
      </c>
      <c r="CS6">
        <v>0</v>
      </c>
      <c r="CT6">
        <v>11932770</v>
      </c>
      <c r="CU6">
        <v>10075330</v>
      </c>
      <c r="CV6" s="2">
        <v>-21360</v>
      </c>
      <c r="CW6" t="s">
        <v>524</v>
      </c>
      <c r="CX6" t="s">
        <v>426</v>
      </c>
      <c r="CY6">
        <v>0</v>
      </c>
      <c r="CZ6" t="s">
        <v>426</v>
      </c>
      <c r="DA6">
        <v>0</v>
      </c>
      <c r="DB6">
        <v>1487500</v>
      </c>
      <c r="DC6">
        <v>0</v>
      </c>
      <c r="DD6" t="s">
        <v>426</v>
      </c>
    </row>
    <row r="7" spans="1:108">
      <c r="A7" t="s">
        <v>4</v>
      </c>
      <c r="B7" t="s">
        <v>6</v>
      </c>
      <c r="C7" t="s">
        <v>24</v>
      </c>
      <c r="D7" t="s">
        <v>101</v>
      </c>
      <c r="E7">
        <v>2025</v>
      </c>
      <c r="F7" t="s">
        <v>102</v>
      </c>
      <c r="G7" t="s">
        <v>100</v>
      </c>
      <c r="H7" t="s">
        <v>5</v>
      </c>
      <c r="I7" s="39" t="s">
        <v>1214</v>
      </c>
      <c r="J7" s="37" t="s">
        <v>1222</v>
      </c>
      <c r="K7" s="18">
        <f t="shared" si="0"/>
        <v>11047360</v>
      </c>
      <c r="L7" s="44">
        <v>90000</v>
      </c>
      <c r="M7" s="18">
        <f t="shared" si="1"/>
        <v>381560</v>
      </c>
      <c r="P7" s="18">
        <f t="shared" si="2"/>
        <v>10157560</v>
      </c>
      <c r="Q7" s="42">
        <f t="shared" si="3"/>
        <v>1687499.73</v>
      </c>
      <c r="R7" s="45">
        <v>1418067</v>
      </c>
      <c r="S7" s="18">
        <f t="shared" si="4"/>
        <v>0</v>
      </c>
      <c r="V7" s="18">
        <f t="shared" si="5"/>
        <v>0</v>
      </c>
      <c r="W7" s="18">
        <f t="shared" si="6"/>
        <v>499999.92</v>
      </c>
      <c r="X7" s="18">
        <v>420168</v>
      </c>
      <c r="Y7" s="47">
        <f t="shared" si="7"/>
        <v>476875</v>
      </c>
      <c r="Z7" s="40">
        <f>VLOOKUP(D7,'Archivo con Bonos Ingresados '!V:CB,59,0)</f>
        <v>56707</v>
      </c>
      <c r="AA7" s="18">
        <f t="shared" si="8"/>
        <v>-420168</v>
      </c>
      <c r="AB7" s="18">
        <f t="shared" si="9"/>
        <v>4.6947790611131017</v>
      </c>
      <c r="AC7" t="s">
        <v>484</v>
      </c>
      <c r="AD7">
        <v>5894</v>
      </c>
      <c r="AE7">
        <v>76296875</v>
      </c>
      <c r="AF7" t="s">
        <v>485</v>
      </c>
      <c r="AG7" t="s">
        <v>486</v>
      </c>
      <c r="AH7" t="s">
        <v>487</v>
      </c>
      <c r="AI7" t="s">
        <v>426</v>
      </c>
      <c r="AJ7" t="s">
        <v>426</v>
      </c>
      <c r="AK7" t="s">
        <v>488</v>
      </c>
      <c r="AL7" t="s">
        <v>426</v>
      </c>
      <c r="AM7" t="s">
        <v>489</v>
      </c>
      <c r="AN7" t="s">
        <v>426</v>
      </c>
      <c r="AO7" t="s">
        <v>490</v>
      </c>
      <c r="AP7" t="s">
        <v>491</v>
      </c>
      <c r="AQ7" t="s">
        <v>492</v>
      </c>
      <c r="AR7" t="s">
        <v>7</v>
      </c>
      <c r="AS7" t="s">
        <v>102</v>
      </c>
      <c r="AT7" t="s">
        <v>102</v>
      </c>
      <c r="AU7" t="s">
        <v>433</v>
      </c>
      <c r="AV7" t="s">
        <v>434</v>
      </c>
      <c r="AW7">
        <v>19857</v>
      </c>
      <c r="AX7" t="s">
        <v>493</v>
      </c>
      <c r="AY7" t="s">
        <v>426</v>
      </c>
      <c r="AZ7" t="s">
        <v>494</v>
      </c>
      <c r="BA7">
        <v>11047360</v>
      </c>
      <c r="BB7" t="s">
        <v>493</v>
      </c>
      <c r="BC7" t="s">
        <v>426</v>
      </c>
      <c r="BD7">
        <v>0</v>
      </c>
      <c r="BE7" t="s">
        <v>437</v>
      </c>
      <c r="BF7" t="s">
        <v>493</v>
      </c>
      <c r="BG7" t="s">
        <v>438</v>
      </c>
      <c r="BH7" t="s">
        <v>439</v>
      </c>
      <c r="BI7" t="s">
        <v>426</v>
      </c>
      <c r="BJ7">
        <v>0</v>
      </c>
      <c r="BK7">
        <v>12640000</v>
      </c>
      <c r="BL7">
        <v>-2050000</v>
      </c>
      <c r="BM7">
        <v>-814000</v>
      </c>
      <c r="BN7">
        <v>9776000</v>
      </c>
      <c r="BO7">
        <v>9629293</v>
      </c>
      <c r="BP7">
        <v>146707</v>
      </c>
      <c r="BQ7" t="s">
        <v>495</v>
      </c>
      <c r="BR7">
        <v>0</v>
      </c>
      <c r="BS7">
        <v>381560</v>
      </c>
      <c r="BT7">
        <v>381560</v>
      </c>
      <c r="BU7">
        <v>0</v>
      </c>
      <c r="BV7" t="s">
        <v>441</v>
      </c>
      <c r="BW7">
        <v>0</v>
      </c>
      <c r="BX7">
        <v>0</v>
      </c>
      <c r="BY7">
        <v>0</v>
      </c>
      <c r="BZ7">
        <v>0</v>
      </c>
      <c r="CA7" t="s">
        <v>441</v>
      </c>
      <c r="CB7">
        <v>0</v>
      </c>
      <c r="CC7">
        <v>0</v>
      </c>
      <c r="CD7">
        <v>0</v>
      </c>
      <c r="CE7">
        <v>0</v>
      </c>
      <c r="CF7" t="s">
        <v>441</v>
      </c>
      <c r="CG7">
        <v>10590000</v>
      </c>
      <c r="CH7">
        <v>10157560</v>
      </c>
      <c r="CI7">
        <v>10010853</v>
      </c>
      <c r="CJ7">
        <v>146707</v>
      </c>
      <c r="CK7" t="s">
        <v>496</v>
      </c>
      <c r="CL7">
        <v>146707</v>
      </c>
      <c r="CM7" t="s">
        <v>496</v>
      </c>
      <c r="CN7">
        <v>0</v>
      </c>
      <c r="CO7">
        <v>0</v>
      </c>
      <c r="CP7">
        <v>12015000</v>
      </c>
      <c r="CQ7">
        <v>0</v>
      </c>
      <c r="CR7">
        <v>381560</v>
      </c>
      <c r="CS7">
        <v>0</v>
      </c>
      <c r="CT7">
        <v>12015000</v>
      </c>
      <c r="CU7">
        <v>10157560</v>
      </c>
      <c r="CV7" s="2">
        <v>146707</v>
      </c>
      <c r="CW7" t="s">
        <v>496</v>
      </c>
      <c r="CX7" t="s">
        <v>426</v>
      </c>
      <c r="CY7">
        <v>0</v>
      </c>
      <c r="CZ7" t="s">
        <v>426</v>
      </c>
      <c r="DA7">
        <v>0</v>
      </c>
      <c r="DB7">
        <v>1687500</v>
      </c>
      <c r="DC7">
        <v>0</v>
      </c>
      <c r="DD7" t="s">
        <v>426</v>
      </c>
    </row>
    <row r="8" spans="1:108">
      <c r="A8" t="s">
        <v>4</v>
      </c>
      <c r="B8" t="s">
        <v>6</v>
      </c>
      <c r="C8" t="s">
        <v>24</v>
      </c>
      <c r="D8" t="s">
        <v>103</v>
      </c>
      <c r="E8">
        <v>2025</v>
      </c>
      <c r="F8" t="s">
        <v>104</v>
      </c>
      <c r="G8" t="s">
        <v>100</v>
      </c>
      <c r="H8" t="s">
        <v>5</v>
      </c>
      <c r="I8" s="39" t="s">
        <v>1214</v>
      </c>
      <c r="J8" s="37" t="s">
        <v>1222</v>
      </c>
      <c r="K8" s="18">
        <f t="shared" si="0"/>
        <v>11047360</v>
      </c>
      <c r="L8" s="44">
        <v>90000</v>
      </c>
      <c r="M8" s="18">
        <f t="shared" si="1"/>
        <v>381560</v>
      </c>
      <c r="P8" s="18">
        <f t="shared" si="2"/>
        <v>10971560</v>
      </c>
      <c r="Q8" s="42">
        <f t="shared" si="3"/>
        <v>1687499.73</v>
      </c>
      <c r="R8" s="45">
        <v>1418067</v>
      </c>
      <c r="S8" s="18">
        <f t="shared" si="4"/>
        <v>0</v>
      </c>
      <c r="V8" s="18">
        <f t="shared" si="5"/>
        <v>0</v>
      </c>
      <c r="W8" s="18">
        <f t="shared" si="6"/>
        <v>0</v>
      </c>
      <c r="Y8" s="47">
        <f t="shared" si="7"/>
        <v>870707</v>
      </c>
      <c r="Z8" s="40">
        <f>VLOOKUP(D8,'Archivo con Bonos Ingresados '!V:CB,59,0)</f>
        <v>870707</v>
      </c>
      <c r="AA8" s="18">
        <f t="shared" si="8"/>
        <v>0</v>
      </c>
      <c r="AB8" s="18">
        <f t="shared" si="9"/>
        <v>7.9360364433134398</v>
      </c>
      <c r="AC8" t="s">
        <v>497</v>
      </c>
      <c r="AD8">
        <v>5895</v>
      </c>
      <c r="AE8">
        <v>76296875</v>
      </c>
      <c r="AF8" t="s">
        <v>485</v>
      </c>
      <c r="AG8" t="s">
        <v>486</v>
      </c>
      <c r="AH8" t="s">
        <v>487</v>
      </c>
      <c r="AI8" t="s">
        <v>426</v>
      </c>
      <c r="AJ8" t="s">
        <v>426</v>
      </c>
      <c r="AK8" t="s">
        <v>488</v>
      </c>
      <c r="AL8" t="s">
        <v>426</v>
      </c>
      <c r="AM8" t="s">
        <v>489</v>
      </c>
      <c r="AN8" t="s">
        <v>426</v>
      </c>
      <c r="AO8" t="s">
        <v>490</v>
      </c>
      <c r="AP8" t="s">
        <v>491</v>
      </c>
      <c r="AQ8" t="s">
        <v>492</v>
      </c>
      <c r="AR8" t="s">
        <v>7</v>
      </c>
      <c r="AS8" t="s">
        <v>104</v>
      </c>
      <c r="AT8" t="s">
        <v>104</v>
      </c>
      <c r="AU8" t="s">
        <v>433</v>
      </c>
      <c r="AV8" t="s">
        <v>434</v>
      </c>
      <c r="AW8">
        <v>19858</v>
      </c>
      <c r="AX8" t="s">
        <v>493</v>
      </c>
      <c r="AY8" t="s">
        <v>426</v>
      </c>
      <c r="AZ8" t="s">
        <v>498</v>
      </c>
      <c r="BA8">
        <v>11047360</v>
      </c>
      <c r="BB8" t="s">
        <v>493</v>
      </c>
      <c r="BC8" t="s">
        <v>426</v>
      </c>
      <c r="BD8">
        <v>0</v>
      </c>
      <c r="BE8" t="s">
        <v>437</v>
      </c>
      <c r="BF8" t="s">
        <v>493</v>
      </c>
      <c r="BG8" t="s">
        <v>499</v>
      </c>
      <c r="BH8" t="s">
        <v>439</v>
      </c>
      <c r="BI8" t="s">
        <v>426</v>
      </c>
      <c r="BJ8">
        <v>0</v>
      </c>
      <c r="BK8">
        <v>12640000</v>
      </c>
      <c r="BL8">
        <v>-2050000</v>
      </c>
      <c r="BM8">
        <v>0</v>
      </c>
      <c r="BN8">
        <v>10590000</v>
      </c>
      <c r="BO8">
        <v>9629293</v>
      </c>
      <c r="BP8">
        <v>960707</v>
      </c>
      <c r="BQ8" t="s">
        <v>500</v>
      </c>
      <c r="BR8">
        <v>0</v>
      </c>
      <c r="BS8">
        <v>381560</v>
      </c>
      <c r="BT8">
        <v>381560</v>
      </c>
      <c r="BU8">
        <v>0</v>
      </c>
      <c r="BV8" t="s">
        <v>441</v>
      </c>
      <c r="BW8">
        <v>0</v>
      </c>
      <c r="BX8">
        <v>0</v>
      </c>
      <c r="BY8">
        <v>0</v>
      </c>
      <c r="BZ8">
        <v>0</v>
      </c>
      <c r="CA8" t="s">
        <v>441</v>
      </c>
      <c r="CB8">
        <v>0</v>
      </c>
      <c r="CC8">
        <v>0</v>
      </c>
      <c r="CD8">
        <v>0</v>
      </c>
      <c r="CE8">
        <v>0</v>
      </c>
      <c r="CF8" t="s">
        <v>441</v>
      </c>
      <c r="CG8">
        <v>10590000</v>
      </c>
      <c r="CH8">
        <v>10971560</v>
      </c>
      <c r="CI8">
        <v>10010853</v>
      </c>
      <c r="CJ8">
        <v>960707</v>
      </c>
      <c r="CK8" t="s">
        <v>501</v>
      </c>
      <c r="CL8">
        <v>960707</v>
      </c>
      <c r="CM8" t="s">
        <v>501</v>
      </c>
      <c r="CN8">
        <v>0</v>
      </c>
      <c r="CO8">
        <v>0</v>
      </c>
      <c r="CP8">
        <v>14657464</v>
      </c>
      <c r="CQ8">
        <v>-1673804</v>
      </c>
      <c r="CR8">
        <v>381560</v>
      </c>
      <c r="CS8">
        <v>0</v>
      </c>
      <c r="CT8">
        <v>12983660</v>
      </c>
      <c r="CU8">
        <v>10971560</v>
      </c>
      <c r="CV8" s="2">
        <v>960707</v>
      </c>
      <c r="CW8" t="s">
        <v>501</v>
      </c>
      <c r="CX8" t="s">
        <v>426</v>
      </c>
      <c r="CY8">
        <v>0</v>
      </c>
      <c r="CZ8" t="s">
        <v>426</v>
      </c>
      <c r="DA8">
        <v>0</v>
      </c>
      <c r="DB8">
        <v>1687500</v>
      </c>
      <c r="DC8">
        <v>0</v>
      </c>
      <c r="DD8" t="s">
        <v>426</v>
      </c>
    </row>
    <row r="9" spans="1:108">
      <c r="A9" t="s">
        <v>4</v>
      </c>
      <c r="B9" t="s">
        <v>6</v>
      </c>
      <c r="C9" t="s">
        <v>20</v>
      </c>
      <c r="D9" t="s">
        <v>159</v>
      </c>
      <c r="E9">
        <v>2025</v>
      </c>
      <c r="F9" t="s">
        <v>160</v>
      </c>
      <c r="G9" t="s">
        <v>158</v>
      </c>
      <c r="H9" t="s">
        <v>8</v>
      </c>
      <c r="I9" s="37" t="s">
        <v>1214</v>
      </c>
      <c r="J9" s="37" t="s">
        <v>1221</v>
      </c>
      <c r="K9" s="18">
        <f t="shared" si="0"/>
        <v>18103335</v>
      </c>
      <c r="L9" s="44">
        <v>145000</v>
      </c>
      <c r="M9" s="18">
        <f t="shared" si="1"/>
        <v>784164</v>
      </c>
      <c r="P9" s="18">
        <f t="shared" si="2"/>
        <v>15910214</v>
      </c>
      <c r="Q9" s="18">
        <f t="shared" si="3"/>
        <v>3150000.21</v>
      </c>
      <c r="R9" s="44">
        <v>2647059</v>
      </c>
      <c r="S9" s="18">
        <f t="shared" si="4"/>
        <v>999999.84</v>
      </c>
      <c r="T9" s="44">
        <v>840336</v>
      </c>
      <c r="U9" s="18">
        <v>150000</v>
      </c>
      <c r="V9" s="44">
        <f t="shared" si="5"/>
        <v>126050.42016806723</v>
      </c>
      <c r="W9" s="18">
        <f t="shared" si="6"/>
        <v>230900.46</v>
      </c>
      <c r="X9" s="44">
        <v>194034</v>
      </c>
      <c r="Y9" s="47">
        <f t="shared" si="7"/>
        <v>685194.42016806721</v>
      </c>
      <c r="Z9" s="40">
        <f>VLOOKUP(D9,'Archivo con Bonos Ingresados '!V:CB,59,0)</f>
        <v>685194</v>
      </c>
      <c r="AA9" s="18">
        <f t="shared" si="8"/>
        <v>-0.42016806721221656</v>
      </c>
      <c r="AB9" s="18">
        <f t="shared" si="9"/>
        <v>4.3066323317088457</v>
      </c>
      <c r="AC9" t="s">
        <v>743</v>
      </c>
      <c r="AD9">
        <v>5954</v>
      </c>
      <c r="AE9">
        <v>19894192</v>
      </c>
      <c r="AF9" t="s">
        <v>503</v>
      </c>
      <c r="AG9" t="s">
        <v>744</v>
      </c>
      <c r="AH9" t="s">
        <v>426</v>
      </c>
      <c r="AI9" t="s">
        <v>745</v>
      </c>
      <c r="AJ9" t="s">
        <v>426</v>
      </c>
      <c r="AK9" t="s">
        <v>488</v>
      </c>
      <c r="AL9" t="s">
        <v>475</v>
      </c>
      <c r="AM9" t="s">
        <v>746</v>
      </c>
      <c r="AN9" t="s">
        <v>426</v>
      </c>
      <c r="AO9" t="s">
        <v>430</v>
      </c>
      <c r="AP9" t="s">
        <v>464</v>
      </c>
      <c r="AQ9" t="s">
        <v>747</v>
      </c>
      <c r="AR9" t="s">
        <v>21</v>
      </c>
      <c r="AS9" t="s">
        <v>160</v>
      </c>
      <c r="AT9" t="s">
        <v>160</v>
      </c>
      <c r="AU9" t="s">
        <v>433</v>
      </c>
      <c r="AV9" t="s">
        <v>434</v>
      </c>
      <c r="AW9">
        <v>19920</v>
      </c>
      <c r="AX9" t="s">
        <v>722</v>
      </c>
      <c r="AY9" t="s">
        <v>426</v>
      </c>
      <c r="AZ9" t="s">
        <v>748</v>
      </c>
      <c r="BA9">
        <v>18103335</v>
      </c>
      <c r="BB9" t="s">
        <v>749</v>
      </c>
      <c r="BC9" t="s">
        <v>426</v>
      </c>
      <c r="BD9">
        <v>0</v>
      </c>
      <c r="BE9" t="s">
        <v>565</v>
      </c>
      <c r="BF9" t="s">
        <v>749</v>
      </c>
      <c r="BG9" t="s">
        <v>566</v>
      </c>
      <c r="BH9" t="s">
        <v>439</v>
      </c>
      <c r="BI9" t="s">
        <v>426</v>
      </c>
      <c r="BJ9">
        <v>0</v>
      </c>
      <c r="BK9">
        <v>19403361</v>
      </c>
      <c r="BL9">
        <v>-3739496</v>
      </c>
      <c r="BM9">
        <v>-537815</v>
      </c>
      <c r="BN9">
        <v>15126050</v>
      </c>
      <c r="BO9">
        <v>18103335</v>
      </c>
      <c r="BP9">
        <v>-2977285</v>
      </c>
      <c r="BQ9" t="s">
        <v>750</v>
      </c>
      <c r="BR9">
        <v>0</v>
      </c>
      <c r="BS9">
        <v>784164</v>
      </c>
      <c r="BT9">
        <v>784164</v>
      </c>
      <c r="BU9">
        <v>0</v>
      </c>
      <c r="BV9" t="s">
        <v>441</v>
      </c>
      <c r="BW9">
        <v>0</v>
      </c>
      <c r="BX9">
        <v>0</v>
      </c>
      <c r="BY9">
        <v>0</v>
      </c>
      <c r="BZ9">
        <v>0</v>
      </c>
      <c r="CA9" t="s">
        <v>441</v>
      </c>
      <c r="CB9">
        <v>0</v>
      </c>
      <c r="CC9">
        <v>0</v>
      </c>
      <c r="CD9">
        <v>0</v>
      </c>
      <c r="CE9">
        <v>0</v>
      </c>
      <c r="CF9" t="s">
        <v>441</v>
      </c>
      <c r="CG9">
        <v>15663865</v>
      </c>
      <c r="CH9">
        <v>15910214</v>
      </c>
      <c r="CI9">
        <v>18887499</v>
      </c>
      <c r="CJ9">
        <v>-2977285</v>
      </c>
      <c r="CK9" t="s">
        <v>751</v>
      </c>
      <c r="CL9">
        <v>-2977285</v>
      </c>
      <c r="CM9" t="s">
        <v>751</v>
      </c>
      <c r="CN9">
        <v>0</v>
      </c>
      <c r="CO9">
        <v>0</v>
      </c>
      <c r="CP9">
        <v>18784164</v>
      </c>
      <c r="CQ9">
        <v>0</v>
      </c>
      <c r="CR9">
        <v>784164</v>
      </c>
      <c r="CS9">
        <v>0</v>
      </c>
      <c r="CT9">
        <v>18784164</v>
      </c>
      <c r="CU9">
        <v>15910214</v>
      </c>
      <c r="CV9" s="2">
        <v>-2977285</v>
      </c>
      <c r="CW9" t="s">
        <v>751</v>
      </c>
      <c r="CX9" t="s">
        <v>426</v>
      </c>
      <c r="CY9">
        <v>0</v>
      </c>
      <c r="CZ9" t="s">
        <v>426</v>
      </c>
      <c r="DA9">
        <v>0</v>
      </c>
      <c r="DB9">
        <v>0</v>
      </c>
      <c r="DC9">
        <v>0</v>
      </c>
      <c r="DD9" t="s">
        <v>426</v>
      </c>
    </row>
    <row r="10" spans="1:108">
      <c r="A10" t="s">
        <v>32</v>
      </c>
      <c r="B10" t="s">
        <v>46</v>
      </c>
      <c r="C10" t="s">
        <v>200</v>
      </c>
      <c r="D10" t="s">
        <v>201</v>
      </c>
      <c r="E10">
        <v>2025</v>
      </c>
      <c r="F10" t="s">
        <v>202</v>
      </c>
      <c r="G10" t="s">
        <v>199</v>
      </c>
      <c r="H10" t="s">
        <v>55</v>
      </c>
      <c r="I10" s="37" t="s">
        <v>1214</v>
      </c>
      <c r="J10" s="37" t="s">
        <v>1218</v>
      </c>
      <c r="K10" s="18">
        <f t="shared" si="0"/>
        <v>11588907</v>
      </c>
      <c r="L10" s="44">
        <v>90000</v>
      </c>
      <c r="M10" s="18">
        <f t="shared" si="1"/>
        <v>669467</v>
      </c>
      <c r="P10" s="18">
        <f t="shared" si="2"/>
        <v>10987450</v>
      </c>
      <c r="Q10" s="18">
        <v>1200000</v>
      </c>
      <c r="R10" s="44">
        <f>Q10/1.19</f>
        <v>1008403.3613445378</v>
      </c>
      <c r="S10" s="18">
        <f t="shared" si="4"/>
        <v>0</v>
      </c>
      <c r="U10" s="18">
        <v>1000000</v>
      </c>
      <c r="V10" s="44">
        <f t="shared" si="5"/>
        <v>840336.13445378153</v>
      </c>
      <c r="W10" s="18">
        <f t="shared" si="6"/>
        <v>0</v>
      </c>
      <c r="Y10" s="47">
        <f t="shared" si="7"/>
        <v>487815.49579831935</v>
      </c>
      <c r="Z10" s="40">
        <f>VLOOKUP(D10,'Archivo con Bonos Ingresados '!V:CB,59,0)</f>
        <v>487815</v>
      </c>
      <c r="AA10" s="18">
        <f t="shared" si="8"/>
        <v>-0.49579831934534013</v>
      </c>
      <c r="AB10" s="18">
        <f t="shared" si="9"/>
        <v>4.4397516784906355</v>
      </c>
      <c r="AC10" t="s">
        <v>853</v>
      </c>
      <c r="AD10">
        <v>5915</v>
      </c>
      <c r="AE10">
        <v>16802706</v>
      </c>
      <c r="AF10" t="s">
        <v>611</v>
      </c>
      <c r="AG10" t="s">
        <v>854</v>
      </c>
      <c r="AH10" t="s">
        <v>426</v>
      </c>
      <c r="AI10" t="s">
        <v>855</v>
      </c>
      <c r="AJ10" t="s">
        <v>426</v>
      </c>
      <c r="AK10" t="s">
        <v>506</v>
      </c>
      <c r="AL10" t="s">
        <v>856</v>
      </c>
      <c r="AM10" t="s">
        <v>857</v>
      </c>
      <c r="AP10" t="s">
        <v>858</v>
      </c>
      <c r="AQ10" t="s">
        <v>200</v>
      </c>
      <c r="AR10" t="s">
        <v>51</v>
      </c>
      <c r="AS10" t="s">
        <v>202</v>
      </c>
      <c r="AT10" t="s">
        <v>202</v>
      </c>
      <c r="AU10" t="s">
        <v>433</v>
      </c>
      <c r="AV10" t="s">
        <v>584</v>
      </c>
      <c r="AW10">
        <v>19872</v>
      </c>
      <c r="AX10" t="s">
        <v>860</v>
      </c>
      <c r="AY10" t="s">
        <v>426</v>
      </c>
      <c r="AZ10" t="s">
        <v>861</v>
      </c>
      <c r="BA10">
        <v>11588907</v>
      </c>
      <c r="BB10" t="s">
        <v>862</v>
      </c>
      <c r="BD10">
        <v>0</v>
      </c>
      <c r="BE10" t="s">
        <v>565</v>
      </c>
      <c r="BF10" t="s">
        <v>862</v>
      </c>
      <c r="BG10" t="s">
        <v>438</v>
      </c>
      <c r="BH10" t="s">
        <v>439</v>
      </c>
      <c r="BI10" t="s">
        <v>426</v>
      </c>
      <c r="BJ10">
        <v>0</v>
      </c>
      <c r="BK10">
        <v>12596639</v>
      </c>
      <c r="BL10">
        <v>-1848739</v>
      </c>
      <c r="BM10">
        <v>-429916</v>
      </c>
      <c r="BN10">
        <v>10317983</v>
      </c>
      <c r="BO10">
        <v>11588907</v>
      </c>
      <c r="BP10">
        <v>-1270924</v>
      </c>
      <c r="BQ10" t="s">
        <v>863</v>
      </c>
      <c r="BR10">
        <v>0</v>
      </c>
      <c r="BS10">
        <v>669467</v>
      </c>
      <c r="BT10">
        <v>669467</v>
      </c>
      <c r="BU10">
        <v>0</v>
      </c>
      <c r="BV10" t="s">
        <v>441</v>
      </c>
      <c r="BW10">
        <v>0</v>
      </c>
      <c r="BX10">
        <v>0</v>
      </c>
      <c r="BY10">
        <v>0</v>
      </c>
      <c r="BZ10">
        <v>0</v>
      </c>
      <c r="CA10" t="s">
        <v>441</v>
      </c>
      <c r="CB10">
        <v>0</v>
      </c>
      <c r="CC10">
        <v>0</v>
      </c>
      <c r="CD10">
        <v>0</v>
      </c>
      <c r="CE10">
        <v>0</v>
      </c>
      <c r="CF10" t="s">
        <v>441</v>
      </c>
      <c r="CG10">
        <v>10747900</v>
      </c>
      <c r="CH10">
        <v>10987450</v>
      </c>
      <c r="CI10">
        <v>12258374</v>
      </c>
      <c r="CJ10">
        <v>-1270924</v>
      </c>
      <c r="CK10" t="s">
        <v>864</v>
      </c>
      <c r="CL10">
        <v>-1270924</v>
      </c>
      <c r="CM10" t="s">
        <v>864</v>
      </c>
      <c r="CN10">
        <v>0</v>
      </c>
      <c r="CO10">
        <v>0</v>
      </c>
      <c r="CP10">
        <v>12947867</v>
      </c>
      <c r="CQ10">
        <v>0</v>
      </c>
      <c r="CR10">
        <v>669467</v>
      </c>
      <c r="CS10">
        <v>0</v>
      </c>
      <c r="CT10">
        <v>12947867</v>
      </c>
      <c r="CU10">
        <v>10987450</v>
      </c>
      <c r="CV10" s="2">
        <v>-1270924</v>
      </c>
      <c r="CW10" t="s">
        <v>864</v>
      </c>
      <c r="CX10" t="s">
        <v>426</v>
      </c>
      <c r="CY10">
        <v>0</v>
      </c>
      <c r="CZ10" t="s">
        <v>426</v>
      </c>
      <c r="DA10">
        <v>0</v>
      </c>
      <c r="DB10">
        <v>0</v>
      </c>
      <c r="DC10">
        <v>0</v>
      </c>
      <c r="DD10" t="s">
        <v>426</v>
      </c>
    </row>
    <row r="11" spans="1:108">
      <c r="A11" t="s">
        <v>4</v>
      </c>
      <c r="B11" t="s">
        <v>6</v>
      </c>
      <c r="C11" t="s">
        <v>17</v>
      </c>
      <c r="D11" t="s">
        <v>118</v>
      </c>
      <c r="E11">
        <v>2025</v>
      </c>
      <c r="F11" t="s">
        <v>119</v>
      </c>
      <c r="G11" t="s">
        <v>117</v>
      </c>
      <c r="H11" t="s">
        <v>5</v>
      </c>
      <c r="I11" s="37" t="s">
        <v>1214</v>
      </c>
      <c r="J11" s="37" t="s">
        <v>1219</v>
      </c>
      <c r="K11" s="18">
        <f t="shared" si="0"/>
        <v>17651815</v>
      </c>
      <c r="L11" s="44">
        <v>175000</v>
      </c>
      <c r="M11" s="18">
        <f t="shared" si="1"/>
        <v>973956</v>
      </c>
      <c r="P11" s="18">
        <f t="shared" si="2"/>
        <v>17898326</v>
      </c>
      <c r="Q11" s="18">
        <f t="shared" ref="Q11:Q16" si="10">R11*1.19</f>
        <v>1449999.53</v>
      </c>
      <c r="R11" s="44">
        <v>1218487</v>
      </c>
      <c r="S11" s="18">
        <f t="shared" si="4"/>
        <v>0</v>
      </c>
      <c r="T11" s="42"/>
      <c r="V11" s="18">
        <f t="shared" si="5"/>
        <v>0</v>
      </c>
      <c r="W11" s="18">
        <f t="shared" si="6"/>
        <v>224900.47999999998</v>
      </c>
      <c r="X11" s="44">
        <v>188992</v>
      </c>
      <c r="Y11" s="47">
        <f t="shared" si="7"/>
        <v>505034</v>
      </c>
      <c r="Z11" s="40">
        <f>VLOOKUP(D11,'Archivo con Bonos Ingresados '!V:CB,59,0)</f>
        <v>505034</v>
      </c>
      <c r="AA11" s="18">
        <f t="shared" si="8"/>
        <v>0</v>
      </c>
      <c r="AB11" s="18">
        <f t="shared" si="9"/>
        <v>2.8216828769349713</v>
      </c>
      <c r="AC11" t="s">
        <v>546</v>
      </c>
      <c r="AD11">
        <v>5905</v>
      </c>
      <c r="AE11">
        <v>16748913</v>
      </c>
      <c r="AF11" t="s">
        <v>423</v>
      </c>
      <c r="AG11" t="s">
        <v>547</v>
      </c>
      <c r="AH11" t="s">
        <v>548</v>
      </c>
      <c r="AI11" t="s">
        <v>426</v>
      </c>
      <c r="AJ11" t="s">
        <v>426</v>
      </c>
      <c r="AK11" t="s">
        <v>549</v>
      </c>
      <c r="AL11" t="s">
        <v>550</v>
      </c>
      <c r="AM11" t="s">
        <v>551</v>
      </c>
      <c r="AN11" t="s">
        <v>426</v>
      </c>
      <c r="AO11" t="s">
        <v>430</v>
      </c>
      <c r="AP11" t="s">
        <v>431</v>
      </c>
      <c r="AQ11" t="s">
        <v>552</v>
      </c>
      <c r="AR11" t="s">
        <v>13</v>
      </c>
      <c r="AS11" t="s">
        <v>119</v>
      </c>
      <c r="AT11" t="s">
        <v>119</v>
      </c>
      <c r="AU11" t="s">
        <v>433</v>
      </c>
      <c r="AV11" t="s">
        <v>434</v>
      </c>
      <c r="AW11">
        <v>19859</v>
      </c>
      <c r="AX11" t="s">
        <v>493</v>
      </c>
      <c r="AY11" t="s">
        <v>426</v>
      </c>
      <c r="AZ11" t="s">
        <v>553</v>
      </c>
      <c r="BA11">
        <v>17651815</v>
      </c>
      <c r="BB11" t="s">
        <v>493</v>
      </c>
      <c r="BC11" t="s">
        <v>426</v>
      </c>
      <c r="BD11">
        <v>0</v>
      </c>
      <c r="BE11" t="s">
        <v>437</v>
      </c>
      <c r="BF11" t="s">
        <v>493</v>
      </c>
      <c r="BG11" t="s">
        <v>438</v>
      </c>
      <c r="BH11" t="s">
        <v>439</v>
      </c>
      <c r="BI11" t="s">
        <v>426</v>
      </c>
      <c r="BJ11">
        <v>26</v>
      </c>
      <c r="BK11">
        <v>18899160</v>
      </c>
      <c r="BL11">
        <v>-1218487</v>
      </c>
      <c r="BM11">
        <v>-756303</v>
      </c>
      <c r="BN11">
        <v>16924370</v>
      </c>
      <c r="BO11">
        <v>17651815</v>
      </c>
      <c r="BP11">
        <v>-727445</v>
      </c>
      <c r="BQ11" t="s">
        <v>554</v>
      </c>
      <c r="BR11">
        <v>0</v>
      </c>
      <c r="BS11">
        <v>973956</v>
      </c>
      <c r="BT11">
        <v>973956</v>
      </c>
      <c r="BU11">
        <v>0</v>
      </c>
      <c r="BV11" t="s">
        <v>441</v>
      </c>
      <c r="BW11">
        <v>0</v>
      </c>
      <c r="BX11">
        <v>0</v>
      </c>
      <c r="BY11">
        <v>0</v>
      </c>
      <c r="BZ11">
        <v>0</v>
      </c>
      <c r="CA11" t="s">
        <v>441</v>
      </c>
      <c r="CB11">
        <v>0</v>
      </c>
      <c r="CC11">
        <v>0</v>
      </c>
      <c r="CD11">
        <v>0</v>
      </c>
      <c r="CE11">
        <v>0</v>
      </c>
      <c r="CF11" t="s">
        <v>441</v>
      </c>
      <c r="CG11">
        <v>17680673</v>
      </c>
      <c r="CH11">
        <v>17898326</v>
      </c>
      <c r="CI11">
        <v>18625771</v>
      </c>
      <c r="CJ11">
        <v>-727445</v>
      </c>
      <c r="CK11" t="s">
        <v>555</v>
      </c>
      <c r="CL11">
        <v>-727445</v>
      </c>
      <c r="CM11" t="s">
        <v>555</v>
      </c>
      <c r="CN11">
        <v>0</v>
      </c>
      <c r="CO11">
        <v>0</v>
      </c>
      <c r="CP11">
        <v>21113956</v>
      </c>
      <c r="CQ11">
        <v>0</v>
      </c>
      <c r="CR11">
        <v>973956</v>
      </c>
      <c r="CS11">
        <v>0</v>
      </c>
      <c r="CT11">
        <v>21113956</v>
      </c>
      <c r="CU11">
        <v>17898326</v>
      </c>
      <c r="CV11" s="2">
        <v>-727445</v>
      </c>
      <c r="CW11" t="s">
        <v>555</v>
      </c>
      <c r="CX11" t="s">
        <v>426</v>
      </c>
      <c r="CY11">
        <v>0</v>
      </c>
      <c r="CZ11" t="s">
        <v>426</v>
      </c>
      <c r="DA11">
        <v>0</v>
      </c>
      <c r="DB11">
        <v>0</v>
      </c>
      <c r="DC11">
        <v>0</v>
      </c>
      <c r="DD11" t="s">
        <v>426</v>
      </c>
    </row>
    <row r="12" spans="1:108">
      <c r="A12" t="s">
        <v>32</v>
      </c>
      <c r="B12" t="s">
        <v>36</v>
      </c>
      <c r="C12" t="s">
        <v>65</v>
      </c>
      <c r="D12" t="s">
        <v>175</v>
      </c>
      <c r="E12">
        <v>2025</v>
      </c>
      <c r="F12" t="s">
        <v>176</v>
      </c>
      <c r="G12" t="s">
        <v>174</v>
      </c>
      <c r="H12" t="s">
        <v>44</v>
      </c>
      <c r="I12" s="37" t="s">
        <v>1214</v>
      </c>
      <c r="J12" s="37" t="s">
        <v>1217</v>
      </c>
      <c r="K12" s="18">
        <f t="shared" si="0"/>
        <v>17773781</v>
      </c>
      <c r="L12" s="44">
        <v>235000</v>
      </c>
      <c r="M12" s="18">
        <f t="shared" si="1"/>
        <v>1000000</v>
      </c>
      <c r="P12" s="18">
        <f t="shared" si="2"/>
        <v>17798319</v>
      </c>
      <c r="Q12" s="18">
        <f t="shared" si="10"/>
        <v>1000000</v>
      </c>
      <c r="R12" s="44">
        <v>840336.13445378153</v>
      </c>
      <c r="S12" s="18">
        <f t="shared" si="4"/>
        <v>0</v>
      </c>
      <c r="U12" s="18">
        <f>V12*1.19</f>
        <v>800000.11</v>
      </c>
      <c r="V12" s="44">
        <f>126050+546219</f>
        <v>672269</v>
      </c>
      <c r="W12" s="18">
        <f t="shared" si="6"/>
        <v>0</v>
      </c>
      <c r="Y12" s="47">
        <f t="shared" si="7"/>
        <v>302143.13445378153</v>
      </c>
      <c r="Z12" s="40">
        <f>VLOOKUP(D12,'Archivo con Bonos Ingresados '!V:CB,59,0)</f>
        <v>302143</v>
      </c>
      <c r="AA12" s="18">
        <f t="shared" si="8"/>
        <v>-0.13445378153119236</v>
      </c>
      <c r="AB12" s="18">
        <f t="shared" si="9"/>
        <v>1.6975936573211299</v>
      </c>
      <c r="AC12" t="s">
        <v>875</v>
      </c>
      <c r="AD12">
        <v>5943</v>
      </c>
      <c r="AE12">
        <v>7131041</v>
      </c>
      <c r="AF12" t="s">
        <v>537</v>
      </c>
      <c r="AG12" t="s">
        <v>876</v>
      </c>
      <c r="AH12" t="s">
        <v>877</v>
      </c>
      <c r="AI12" t="s">
        <v>878</v>
      </c>
      <c r="AJ12" t="s">
        <v>426</v>
      </c>
      <c r="AK12" t="s">
        <v>488</v>
      </c>
      <c r="AL12" t="s">
        <v>879</v>
      </c>
      <c r="AM12" t="s">
        <v>880</v>
      </c>
      <c r="AP12" t="s">
        <v>881</v>
      </c>
      <c r="AQ12" t="s">
        <v>65</v>
      </c>
      <c r="AR12" t="s">
        <v>38</v>
      </c>
      <c r="AS12" t="s">
        <v>176</v>
      </c>
      <c r="AT12" t="s">
        <v>176</v>
      </c>
      <c r="AU12" t="s">
        <v>433</v>
      </c>
      <c r="AV12" t="s">
        <v>584</v>
      </c>
      <c r="AW12">
        <v>19907</v>
      </c>
      <c r="AX12" t="s">
        <v>696</v>
      </c>
      <c r="AY12" t="s">
        <v>426</v>
      </c>
      <c r="AZ12" t="s">
        <v>883</v>
      </c>
      <c r="BA12">
        <v>17773781</v>
      </c>
      <c r="BB12" t="s">
        <v>884</v>
      </c>
      <c r="BD12">
        <v>0</v>
      </c>
      <c r="BE12" t="s">
        <v>437</v>
      </c>
      <c r="BF12" t="s">
        <v>884</v>
      </c>
      <c r="BG12" t="s">
        <v>481</v>
      </c>
      <c r="BH12" t="s">
        <v>439</v>
      </c>
      <c r="BI12" t="s">
        <v>885</v>
      </c>
      <c r="BJ12">
        <v>115</v>
      </c>
      <c r="BK12">
        <v>19319328</v>
      </c>
      <c r="BL12">
        <v>-1680672</v>
      </c>
      <c r="BM12">
        <v>-840336</v>
      </c>
      <c r="BN12">
        <v>16798319</v>
      </c>
      <c r="BO12">
        <v>17773781</v>
      </c>
      <c r="BP12">
        <v>-975462</v>
      </c>
      <c r="BQ12" t="s">
        <v>886</v>
      </c>
      <c r="BR12">
        <v>0</v>
      </c>
      <c r="BS12">
        <v>1000000</v>
      </c>
      <c r="BT12">
        <v>1000000</v>
      </c>
      <c r="BU12">
        <v>0</v>
      </c>
      <c r="BV12" t="s">
        <v>441</v>
      </c>
      <c r="BW12">
        <v>0</v>
      </c>
      <c r="BX12">
        <v>0</v>
      </c>
      <c r="BY12">
        <v>0</v>
      </c>
      <c r="BZ12">
        <v>0</v>
      </c>
      <c r="CA12" t="s">
        <v>441</v>
      </c>
      <c r="CB12">
        <v>0</v>
      </c>
      <c r="CC12">
        <v>0</v>
      </c>
      <c r="CD12">
        <v>0</v>
      </c>
      <c r="CE12">
        <v>0</v>
      </c>
      <c r="CF12" t="s">
        <v>441</v>
      </c>
      <c r="CG12">
        <v>17638656</v>
      </c>
      <c r="CH12">
        <v>17798319</v>
      </c>
      <c r="CI12">
        <v>18773781</v>
      </c>
      <c r="CJ12">
        <v>-975462</v>
      </c>
      <c r="CK12" t="s">
        <v>887</v>
      </c>
      <c r="CL12">
        <v>-975462</v>
      </c>
      <c r="CM12" t="s">
        <v>887</v>
      </c>
      <c r="CN12">
        <v>0</v>
      </c>
      <c r="CO12">
        <v>6300000</v>
      </c>
      <c r="CP12">
        <v>14690000</v>
      </c>
      <c r="CQ12">
        <v>0</v>
      </c>
      <c r="CR12">
        <v>1000000</v>
      </c>
      <c r="CS12">
        <v>0</v>
      </c>
      <c r="CT12">
        <v>20990000</v>
      </c>
      <c r="CU12">
        <v>17798319</v>
      </c>
      <c r="CV12" s="2">
        <v>-975462</v>
      </c>
      <c r="CW12" t="s">
        <v>887</v>
      </c>
      <c r="CX12" t="s">
        <v>426</v>
      </c>
      <c r="CY12">
        <v>0</v>
      </c>
      <c r="CZ12" t="s">
        <v>426</v>
      </c>
      <c r="DA12">
        <v>0</v>
      </c>
      <c r="DB12">
        <v>0</v>
      </c>
      <c r="DC12">
        <v>0</v>
      </c>
      <c r="DD12" t="s">
        <v>426</v>
      </c>
    </row>
    <row r="13" spans="1:108">
      <c r="A13" t="s">
        <v>4</v>
      </c>
      <c r="B13" t="s">
        <v>6</v>
      </c>
      <c r="C13" t="s">
        <v>10</v>
      </c>
      <c r="D13" t="s">
        <v>133</v>
      </c>
      <c r="E13">
        <v>2025</v>
      </c>
      <c r="F13" t="s">
        <v>134</v>
      </c>
      <c r="G13" t="s">
        <v>132</v>
      </c>
      <c r="H13" t="s">
        <v>5</v>
      </c>
      <c r="I13" s="37" t="s">
        <v>1214</v>
      </c>
      <c r="J13" s="37" t="s">
        <v>1219</v>
      </c>
      <c r="K13" s="18">
        <f t="shared" si="0"/>
        <v>23804093</v>
      </c>
      <c r="L13" s="44">
        <v>175000</v>
      </c>
      <c r="M13" s="18">
        <f t="shared" si="1"/>
        <v>1581111</v>
      </c>
      <c r="P13" s="18">
        <f t="shared" si="2"/>
        <v>24160355</v>
      </c>
      <c r="Q13" s="18">
        <f t="shared" si="10"/>
        <v>2900000.25</v>
      </c>
      <c r="R13" s="44">
        <v>2436975</v>
      </c>
      <c r="S13" s="18">
        <f t="shared" si="4"/>
        <v>0</v>
      </c>
      <c r="T13" s="42"/>
      <c r="V13" s="18">
        <f t="shared" ref="V13:V48" si="11">U13/1.19</f>
        <v>0</v>
      </c>
      <c r="W13" s="18">
        <f t="shared" si="6"/>
        <v>306899.81</v>
      </c>
      <c r="X13" s="44">
        <v>257899</v>
      </c>
      <c r="Y13" s="47">
        <f t="shared" si="7"/>
        <v>1295025</v>
      </c>
      <c r="Z13" s="40">
        <f>VLOOKUP(D13,'Archivo con Bonos Ingresados '!V:CB,59,0)</f>
        <v>1295025</v>
      </c>
      <c r="AA13" s="18">
        <f t="shared" si="8"/>
        <v>0</v>
      </c>
      <c r="AB13" s="18">
        <f t="shared" si="9"/>
        <v>5.3601240544685709</v>
      </c>
      <c r="AC13" t="s">
        <v>600</v>
      </c>
      <c r="AD13">
        <v>5917</v>
      </c>
      <c r="AE13">
        <v>7918183</v>
      </c>
      <c r="AF13" t="s">
        <v>537</v>
      </c>
      <c r="AG13" t="s">
        <v>601</v>
      </c>
      <c r="AH13" t="s">
        <v>602</v>
      </c>
      <c r="AI13" t="s">
        <v>426</v>
      </c>
      <c r="AJ13" t="s">
        <v>426</v>
      </c>
      <c r="AK13" t="s">
        <v>603</v>
      </c>
      <c r="AL13" t="s">
        <v>604</v>
      </c>
      <c r="AM13" t="s">
        <v>605</v>
      </c>
      <c r="AN13" t="s">
        <v>426</v>
      </c>
      <c r="AO13" t="s">
        <v>463</v>
      </c>
      <c r="AP13" t="s">
        <v>464</v>
      </c>
      <c r="AQ13" t="s">
        <v>606</v>
      </c>
      <c r="AR13" t="s">
        <v>26</v>
      </c>
      <c r="AS13" t="s">
        <v>134</v>
      </c>
      <c r="AT13" t="s">
        <v>426</v>
      </c>
      <c r="AU13" t="s">
        <v>433</v>
      </c>
      <c r="AV13" t="s">
        <v>434</v>
      </c>
      <c r="AW13">
        <v>19861</v>
      </c>
      <c r="AX13" t="s">
        <v>493</v>
      </c>
      <c r="AY13" t="s">
        <v>426</v>
      </c>
      <c r="AZ13" t="s">
        <v>607</v>
      </c>
      <c r="BA13">
        <v>23804093</v>
      </c>
      <c r="BB13" t="s">
        <v>493</v>
      </c>
      <c r="BC13" t="s">
        <v>426</v>
      </c>
      <c r="BD13">
        <v>0</v>
      </c>
      <c r="BE13" t="s">
        <v>437</v>
      </c>
      <c r="BF13" t="s">
        <v>493</v>
      </c>
      <c r="BG13" t="s">
        <v>438</v>
      </c>
      <c r="BH13" t="s">
        <v>439</v>
      </c>
      <c r="BI13" t="s">
        <v>426</v>
      </c>
      <c r="BJ13">
        <v>0</v>
      </c>
      <c r="BK13">
        <v>25789916</v>
      </c>
      <c r="BL13">
        <v>-2436975</v>
      </c>
      <c r="BM13">
        <v>-773697</v>
      </c>
      <c r="BN13">
        <v>22579244</v>
      </c>
      <c r="BO13">
        <v>23804093</v>
      </c>
      <c r="BP13">
        <v>-1224849</v>
      </c>
      <c r="BQ13" t="s">
        <v>608</v>
      </c>
      <c r="BR13">
        <v>0</v>
      </c>
      <c r="BS13">
        <v>1581111</v>
      </c>
      <c r="BT13">
        <v>1581111</v>
      </c>
      <c r="BU13">
        <v>0</v>
      </c>
      <c r="BV13" t="s">
        <v>441</v>
      </c>
      <c r="BW13">
        <v>0</v>
      </c>
      <c r="BX13">
        <v>0</v>
      </c>
      <c r="BY13">
        <v>0</v>
      </c>
      <c r="BZ13">
        <v>0</v>
      </c>
      <c r="CA13" t="s">
        <v>441</v>
      </c>
      <c r="CB13">
        <v>0</v>
      </c>
      <c r="CC13">
        <v>0</v>
      </c>
      <c r="CD13">
        <v>0</v>
      </c>
      <c r="CE13">
        <v>0</v>
      </c>
      <c r="CF13" t="s">
        <v>441</v>
      </c>
      <c r="CG13">
        <v>23352941</v>
      </c>
      <c r="CH13">
        <v>24160355</v>
      </c>
      <c r="CI13">
        <v>25385204</v>
      </c>
      <c r="CJ13">
        <v>-1224849</v>
      </c>
      <c r="CK13" t="s">
        <v>609</v>
      </c>
      <c r="CL13">
        <v>-1224849</v>
      </c>
      <c r="CM13" t="s">
        <v>609</v>
      </c>
      <c r="CN13">
        <v>0</v>
      </c>
      <c r="CO13">
        <v>0</v>
      </c>
      <c r="CP13">
        <v>28450411</v>
      </c>
      <c r="CQ13">
        <v>0</v>
      </c>
      <c r="CR13">
        <v>1581111</v>
      </c>
      <c r="CS13">
        <v>0</v>
      </c>
      <c r="CT13">
        <v>28450411</v>
      </c>
      <c r="CU13">
        <v>24160355</v>
      </c>
      <c r="CV13" s="2">
        <v>-1224849</v>
      </c>
      <c r="CW13" t="s">
        <v>609</v>
      </c>
      <c r="CX13" t="s">
        <v>426</v>
      </c>
      <c r="CY13">
        <v>0</v>
      </c>
      <c r="CZ13" t="s">
        <v>426</v>
      </c>
      <c r="DA13">
        <v>0</v>
      </c>
      <c r="DB13">
        <v>0</v>
      </c>
      <c r="DC13">
        <v>0</v>
      </c>
      <c r="DD13" t="s">
        <v>426</v>
      </c>
    </row>
    <row r="14" spans="1:108">
      <c r="A14" t="s">
        <v>4</v>
      </c>
      <c r="B14" t="s">
        <v>6</v>
      </c>
      <c r="C14" t="s">
        <v>165</v>
      </c>
      <c r="D14" t="s">
        <v>166</v>
      </c>
      <c r="E14">
        <v>2025</v>
      </c>
      <c r="F14" t="s">
        <v>167</v>
      </c>
      <c r="G14" t="s">
        <v>164</v>
      </c>
      <c r="H14" t="s">
        <v>5</v>
      </c>
      <c r="I14" s="37" t="s">
        <v>1214</v>
      </c>
      <c r="J14" s="37" t="s">
        <v>1219</v>
      </c>
      <c r="K14" s="18">
        <f t="shared" si="0"/>
        <v>15795707</v>
      </c>
      <c r="L14" s="44">
        <v>175000</v>
      </c>
      <c r="M14" s="18">
        <f t="shared" si="1"/>
        <v>860724</v>
      </c>
      <c r="P14" s="18">
        <f t="shared" si="2"/>
        <v>15763497</v>
      </c>
      <c r="Q14" s="18">
        <f t="shared" si="10"/>
        <v>1850000.18</v>
      </c>
      <c r="R14" s="44">
        <v>1554622</v>
      </c>
      <c r="S14" s="18">
        <f t="shared" si="4"/>
        <v>0</v>
      </c>
      <c r="T14" s="42"/>
      <c r="V14" s="18">
        <f t="shared" si="11"/>
        <v>0</v>
      </c>
      <c r="W14" s="18">
        <f t="shared" si="6"/>
        <v>201900.16</v>
      </c>
      <c r="X14" s="44">
        <v>169664</v>
      </c>
      <c r="Y14" s="47">
        <f t="shared" si="7"/>
        <v>656352</v>
      </c>
      <c r="Z14" s="40">
        <f>VLOOKUP(D14,'Archivo con Bonos Ingresados '!V:CB,59,0)</f>
        <v>656352</v>
      </c>
      <c r="AA14" s="18">
        <f t="shared" si="8"/>
        <v>0</v>
      </c>
      <c r="AB14" s="18">
        <f t="shared" si="9"/>
        <v>4.1637461535343334</v>
      </c>
      <c r="AC14" t="s">
        <v>759</v>
      </c>
      <c r="AD14">
        <v>5960</v>
      </c>
      <c r="AE14">
        <v>8545815</v>
      </c>
      <c r="AF14" t="s">
        <v>760</v>
      </c>
      <c r="AG14" t="s">
        <v>761</v>
      </c>
      <c r="AH14" t="s">
        <v>762</v>
      </c>
      <c r="AI14" t="s">
        <v>426</v>
      </c>
      <c r="AJ14" t="s">
        <v>426</v>
      </c>
      <c r="AK14" t="s">
        <v>488</v>
      </c>
      <c r="AL14" t="s">
        <v>763</v>
      </c>
      <c r="AM14" t="s">
        <v>764</v>
      </c>
      <c r="AN14" t="s">
        <v>426</v>
      </c>
      <c r="AO14" t="s">
        <v>430</v>
      </c>
      <c r="AP14" t="s">
        <v>431</v>
      </c>
      <c r="AQ14" t="s">
        <v>765</v>
      </c>
      <c r="AR14" t="s">
        <v>85</v>
      </c>
      <c r="AS14" t="s">
        <v>167</v>
      </c>
      <c r="AT14" t="s">
        <v>167</v>
      </c>
      <c r="AU14" t="s">
        <v>433</v>
      </c>
      <c r="AV14" t="s">
        <v>434</v>
      </c>
      <c r="AW14">
        <v>19926</v>
      </c>
      <c r="AX14" t="s">
        <v>766</v>
      </c>
      <c r="AY14" t="s">
        <v>426</v>
      </c>
      <c r="AZ14" t="s">
        <v>767</v>
      </c>
      <c r="BA14">
        <v>15795707</v>
      </c>
      <c r="BB14" t="s">
        <v>766</v>
      </c>
      <c r="BC14" t="s">
        <v>426</v>
      </c>
      <c r="BD14">
        <v>0</v>
      </c>
      <c r="BE14" t="s">
        <v>437</v>
      </c>
      <c r="BF14" t="s">
        <v>766</v>
      </c>
      <c r="BG14" t="s">
        <v>438</v>
      </c>
      <c r="BH14" t="s">
        <v>439</v>
      </c>
      <c r="BI14" t="s">
        <v>426</v>
      </c>
      <c r="BJ14">
        <v>123</v>
      </c>
      <c r="BK14">
        <v>16966386</v>
      </c>
      <c r="BL14">
        <v>-1554622</v>
      </c>
      <c r="BM14">
        <v>-508992</v>
      </c>
      <c r="BN14">
        <v>14902773</v>
      </c>
      <c r="BO14">
        <v>15795707</v>
      </c>
      <c r="BP14">
        <v>-892934</v>
      </c>
      <c r="BQ14" t="s">
        <v>768</v>
      </c>
      <c r="BR14">
        <v>0</v>
      </c>
      <c r="BS14">
        <v>860724</v>
      </c>
      <c r="BT14">
        <v>860724</v>
      </c>
      <c r="BU14">
        <v>0</v>
      </c>
      <c r="BV14" t="s">
        <v>441</v>
      </c>
      <c r="BW14">
        <v>0</v>
      </c>
      <c r="BX14">
        <v>0</v>
      </c>
      <c r="BY14">
        <v>0</v>
      </c>
      <c r="BZ14">
        <v>0</v>
      </c>
      <c r="CA14" t="s">
        <v>441</v>
      </c>
      <c r="CB14">
        <v>0</v>
      </c>
      <c r="CC14">
        <v>0</v>
      </c>
      <c r="CD14">
        <v>0</v>
      </c>
      <c r="CE14">
        <v>0</v>
      </c>
      <c r="CF14" t="s">
        <v>441</v>
      </c>
      <c r="CG14">
        <v>15411764</v>
      </c>
      <c r="CH14">
        <v>15763497</v>
      </c>
      <c r="CI14">
        <v>16656431</v>
      </c>
      <c r="CJ14">
        <v>-892934</v>
      </c>
      <c r="CK14" t="s">
        <v>769</v>
      </c>
      <c r="CL14">
        <v>-892934</v>
      </c>
      <c r="CM14" t="s">
        <v>769</v>
      </c>
      <c r="CN14">
        <v>0</v>
      </c>
      <c r="CO14">
        <v>0</v>
      </c>
      <c r="CP14">
        <v>18595024</v>
      </c>
      <c r="CQ14">
        <v>0</v>
      </c>
      <c r="CR14">
        <v>860724</v>
      </c>
      <c r="CS14">
        <v>0</v>
      </c>
      <c r="CT14">
        <v>18595024</v>
      </c>
      <c r="CU14">
        <v>15763497</v>
      </c>
      <c r="CV14" s="2">
        <v>-892934</v>
      </c>
      <c r="CW14" t="s">
        <v>769</v>
      </c>
      <c r="CX14" t="s">
        <v>426</v>
      </c>
      <c r="CY14">
        <v>0</v>
      </c>
      <c r="CZ14" t="s">
        <v>426</v>
      </c>
      <c r="DA14">
        <v>0</v>
      </c>
      <c r="DB14">
        <v>0</v>
      </c>
      <c r="DC14">
        <v>0</v>
      </c>
      <c r="DD14" t="s">
        <v>426</v>
      </c>
    </row>
    <row r="15" spans="1:108" s="38" customFormat="1">
      <c r="A15" t="s">
        <v>4</v>
      </c>
      <c r="B15" t="s">
        <v>6</v>
      </c>
      <c r="C15" t="s">
        <v>18</v>
      </c>
      <c r="D15" t="s">
        <v>172</v>
      </c>
      <c r="E15">
        <v>2025</v>
      </c>
      <c r="F15" t="s">
        <v>173</v>
      </c>
      <c r="G15" t="s">
        <v>171</v>
      </c>
      <c r="H15" t="s">
        <v>8</v>
      </c>
      <c r="I15" s="37" t="s">
        <v>1214</v>
      </c>
      <c r="J15" s="37" t="s">
        <v>1219</v>
      </c>
      <c r="K15" s="18">
        <f t="shared" si="0"/>
        <v>43474588</v>
      </c>
      <c r="L15" s="44">
        <v>235000</v>
      </c>
      <c r="M15" s="18">
        <f t="shared" si="1"/>
        <v>2749605</v>
      </c>
      <c r="N15" s="18"/>
      <c r="O15" s="18"/>
      <c r="P15" s="18">
        <f t="shared" si="2"/>
        <v>44926495</v>
      </c>
      <c r="Q15" s="18">
        <f t="shared" si="10"/>
        <v>2999999.52</v>
      </c>
      <c r="R15" s="44">
        <v>2521008</v>
      </c>
      <c r="S15" s="18">
        <f t="shared" si="4"/>
        <v>0</v>
      </c>
      <c r="T15" s="42"/>
      <c r="U15" s="18"/>
      <c r="V15" s="18">
        <f t="shared" si="11"/>
        <v>0</v>
      </c>
      <c r="W15" s="18">
        <f t="shared" si="6"/>
        <v>559899.76</v>
      </c>
      <c r="X15" s="44">
        <v>470504</v>
      </c>
      <c r="Y15" s="47">
        <f t="shared" si="7"/>
        <v>1458814</v>
      </c>
      <c r="Z15" s="40">
        <f>VLOOKUP(D15,'Archivo con Bonos Ingresados '!V:CB,59,0)</f>
        <v>1458814</v>
      </c>
      <c r="AA15" s="18">
        <f t="shared" si="8"/>
        <v>0</v>
      </c>
      <c r="AB15" s="18">
        <f t="shared" si="9"/>
        <v>3.2471128673625662</v>
      </c>
      <c r="AC15" t="s">
        <v>779</v>
      </c>
      <c r="AD15">
        <v>5969</v>
      </c>
      <c r="AE15">
        <v>18142681</v>
      </c>
      <c r="AF15" t="s">
        <v>611</v>
      </c>
      <c r="AG15" t="s">
        <v>780</v>
      </c>
      <c r="AH15" t="s">
        <v>426</v>
      </c>
      <c r="AI15" t="s">
        <v>781</v>
      </c>
      <c r="AJ15" t="s">
        <v>426</v>
      </c>
      <c r="AK15" t="s">
        <v>488</v>
      </c>
      <c r="AL15" t="s">
        <v>475</v>
      </c>
      <c r="AM15" t="s">
        <v>782</v>
      </c>
      <c r="AN15" t="s">
        <v>426</v>
      </c>
      <c r="AO15" t="s">
        <v>430</v>
      </c>
      <c r="AP15" t="s">
        <v>426</v>
      </c>
      <c r="AQ15" t="s">
        <v>783</v>
      </c>
      <c r="AR15" t="s">
        <v>11</v>
      </c>
      <c r="AS15" t="s">
        <v>173</v>
      </c>
      <c r="AT15" t="s">
        <v>173</v>
      </c>
      <c r="AU15" t="s">
        <v>433</v>
      </c>
      <c r="AV15" t="s">
        <v>584</v>
      </c>
      <c r="AW15">
        <v>19949</v>
      </c>
      <c r="AX15" t="s">
        <v>633</v>
      </c>
      <c r="AY15" t="s">
        <v>426</v>
      </c>
      <c r="AZ15" t="s">
        <v>784</v>
      </c>
      <c r="BA15">
        <v>43474588</v>
      </c>
      <c r="BB15" t="s">
        <v>633</v>
      </c>
      <c r="BC15" t="s">
        <v>426</v>
      </c>
      <c r="BD15">
        <v>0</v>
      </c>
      <c r="BE15" t="s">
        <v>437</v>
      </c>
      <c r="BF15" t="s">
        <v>633</v>
      </c>
      <c r="BG15" t="s">
        <v>481</v>
      </c>
      <c r="BH15" t="s">
        <v>439</v>
      </c>
      <c r="BI15" t="s">
        <v>426</v>
      </c>
      <c r="BJ15">
        <v>31</v>
      </c>
      <c r="BK15">
        <v>47050420</v>
      </c>
      <c r="BL15">
        <v>-2521008</v>
      </c>
      <c r="BM15">
        <v>-2521008</v>
      </c>
      <c r="BN15">
        <v>42008403</v>
      </c>
      <c r="BO15">
        <v>43474588</v>
      </c>
      <c r="BP15">
        <v>-1466185</v>
      </c>
      <c r="BQ15" t="s">
        <v>785</v>
      </c>
      <c r="BR15">
        <v>0</v>
      </c>
      <c r="BS15">
        <v>2749605</v>
      </c>
      <c r="BT15">
        <v>2749605</v>
      </c>
      <c r="BU15">
        <v>0</v>
      </c>
      <c r="BV15" t="s">
        <v>441</v>
      </c>
      <c r="BW15">
        <v>110500</v>
      </c>
      <c r="BX15">
        <v>168487</v>
      </c>
      <c r="BY15">
        <v>0</v>
      </c>
      <c r="BZ15">
        <v>0</v>
      </c>
      <c r="CA15" t="s">
        <v>441</v>
      </c>
      <c r="CB15">
        <v>0</v>
      </c>
      <c r="CC15">
        <v>0</v>
      </c>
      <c r="CD15">
        <v>0</v>
      </c>
      <c r="CE15">
        <v>0</v>
      </c>
      <c r="CF15" t="s">
        <v>441</v>
      </c>
      <c r="CG15">
        <v>44529412</v>
      </c>
      <c r="CH15">
        <v>44926495</v>
      </c>
      <c r="CI15">
        <v>46224193</v>
      </c>
      <c r="CJ15">
        <v>-1297698</v>
      </c>
      <c r="CK15" t="s">
        <v>786</v>
      </c>
      <c r="CL15">
        <v>-1297698</v>
      </c>
      <c r="CM15" t="s">
        <v>786</v>
      </c>
      <c r="CN15">
        <v>0</v>
      </c>
      <c r="CO15">
        <v>0</v>
      </c>
      <c r="CP15">
        <v>52940105</v>
      </c>
      <c r="CQ15">
        <v>0</v>
      </c>
      <c r="CR15">
        <v>2749605</v>
      </c>
      <c r="CS15">
        <v>168487</v>
      </c>
      <c r="CT15">
        <v>52940104</v>
      </c>
      <c r="CU15">
        <v>44926495</v>
      </c>
      <c r="CV15" s="2">
        <v>-1297698</v>
      </c>
      <c r="CW15" t="s">
        <v>786</v>
      </c>
      <c r="CX15" t="s">
        <v>426</v>
      </c>
      <c r="CY15">
        <v>0</v>
      </c>
      <c r="CZ15" t="s">
        <v>426</v>
      </c>
      <c r="DA15">
        <v>0</v>
      </c>
      <c r="DB15">
        <v>0</v>
      </c>
      <c r="DC15">
        <v>0</v>
      </c>
      <c r="DD15" t="s">
        <v>426</v>
      </c>
    </row>
    <row r="16" spans="1:108">
      <c r="A16" t="s">
        <v>4</v>
      </c>
      <c r="B16" t="s">
        <v>6</v>
      </c>
      <c r="C16" t="s">
        <v>23</v>
      </c>
      <c r="D16" t="s">
        <v>127</v>
      </c>
      <c r="E16">
        <v>2025</v>
      </c>
      <c r="F16" t="s">
        <v>128</v>
      </c>
      <c r="G16" t="s">
        <v>126</v>
      </c>
      <c r="H16" t="s">
        <v>8</v>
      </c>
      <c r="I16" s="37" t="s">
        <v>1214</v>
      </c>
      <c r="J16" s="37" t="s">
        <v>1220</v>
      </c>
      <c r="K16" s="18">
        <f t="shared" si="0"/>
        <v>22640647</v>
      </c>
      <c r="L16" s="44">
        <v>175000</v>
      </c>
      <c r="M16" s="18">
        <f t="shared" si="1"/>
        <v>1196428</v>
      </c>
      <c r="P16" s="18">
        <f t="shared" si="2"/>
        <v>21608193</v>
      </c>
      <c r="Q16" s="18">
        <f t="shared" si="10"/>
        <v>2850000.02</v>
      </c>
      <c r="R16" s="44">
        <v>2394958</v>
      </c>
      <c r="S16" s="18">
        <f t="shared" si="4"/>
        <v>949999.61</v>
      </c>
      <c r="T16" s="44">
        <v>798319</v>
      </c>
      <c r="U16" s="18">
        <v>150000</v>
      </c>
      <c r="V16" s="44">
        <f t="shared" si="11"/>
        <v>126050.42016806723</v>
      </c>
      <c r="W16" s="18">
        <f t="shared" si="6"/>
        <v>291899.86</v>
      </c>
      <c r="X16" s="44">
        <v>245294</v>
      </c>
      <c r="Y16" s="47">
        <f t="shared" si="7"/>
        <v>1160739.4201680673</v>
      </c>
      <c r="Z16" s="40">
        <f>VLOOKUP(D16,'Archivo con Bonos Ingresados '!V:CB,59,0)</f>
        <v>1160739</v>
      </c>
      <c r="AA16" s="18">
        <f t="shared" si="8"/>
        <v>-0.42016806732863188</v>
      </c>
      <c r="AB16" s="18">
        <f t="shared" si="9"/>
        <v>5.3717560749668767</v>
      </c>
      <c r="AC16" t="s">
        <v>579</v>
      </c>
      <c r="AD16">
        <v>5913</v>
      </c>
      <c r="AE16">
        <v>17408406</v>
      </c>
      <c r="AF16" t="s">
        <v>537</v>
      </c>
      <c r="AG16" t="s">
        <v>580</v>
      </c>
      <c r="AH16" t="s">
        <v>426</v>
      </c>
      <c r="AI16" t="s">
        <v>581</v>
      </c>
      <c r="AJ16" t="s">
        <v>426</v>
      </c>
      <c r="AK16" t="s">
        <v>488</v>
      </c>
      <c r="AL16" t="s">
        <v>582</v>
      </c>
      <c r="AM16" t="s">
        <v>583</v>
      </c>
      <c r="AN16" t="s">
        <v>426</v>
      </c>
      <c r="AO16" t="s">
        <v>463</v>
      </c>
      <c r="AP16" t="s">
        <v>464</v>
      </c>
      <c r="AQ16" t="s">
        <v>465</v>
      </c>
      <c r="AR16" t="s">
        <v>13</v>
      </c>
      <c r="AS16" t="s">
        <v>128</v>
      </c>
      <c r="AT16" t="s">
        <v>128</v>
      </c>
      <c r="AU16" t="s">
        <v>433</v>
      </c>
      <c r="AV16" t="s">
        <v>584</v>
      </c>
      <c r="AW16">
        <v>19908</v>
      </c>
      <c r="AX16" t="s">
        <v>585</v>
      </c>
      <c r="AY16" t="s">
        <v>426</v>
      </c>
      <c r="AZ16" t="s">
        <v>586</v>
      </c>
      <c r="BA16">
        <v>22640647</v>
      </c>
      <c r="BB16" t="s">
        <v>587</v>
      </c>
      <c r="BC16" t="s">
        <v>426</v>
      </c>
      <c r="BD16">
        <v>0</v>
      </c>
      <c r="BE16" t="s">
        <v>437</v>
      </c>
      <c r="BF16" t="s">
        <v>587</v>
      </c>
      <c r="BG16" t="s">
        <v>481</v>
      </c>
      <c r="BH16" t="s">
        <v>439</v>
      </c>
      <c r="BI16" t="s">
        <v>588</v>
      </c>
      <c r="BJ16">
        <v>-6</v>
      </c>
      <c r="BK16">
        <v>24529412</v>
      </c>
      <c r="BL16">
        <v>-3571429</v>
      </c>
      <c r="BM16">
        <v>-840336</v>
      </c>
      <c r="BN16">
        <v>20117647</v>
      </c>
      <c r="BO16">
        <v>22640647</v>
      </c>
      <c r="BP16">
        <v>-2523000</v>
      </c>
      <c r="BQ16" t="s">
        <v>589</v>
      </c>
      <c r="BR16">
        <v>0</v>
      </c>
      <c r="BS16">
        <v>1196428</v>
      </c>
      <c r="BT16">
        <v>1196428</v>
      </c>
      <c r="BU16">
        <v>0</v>
      </c>
      <c r="BV16" t="s">
        <v>441</v>
      </c>
      <c r="BW16">
        <v>73920</v>
      </c>
      <c r="BX16">
        <v>294118</v>
      </c>
      <c r="BY16">
        <v>0</v>
      </c>
      <c r="BZ16">
        <v>0</v>
      </c>
      <c r="CA16" t="s">
        <v>441</v>
      </c>
      <c r="CB16">
        <v>0</v>
      </c>
      <c r="CC16">
        <v>0</v>
      </c>
      <c r="CD16">
        <v>0</v>
      </c>
      <c r="CE16">
        <v>0</v>
      </c>
      <c r="CF16" t="s">
        <v>441</v>
      </c>
      <c r="CG16">
        <v>20957983</v>
      </c>
      <c r="CH16">
        <v>21608193</v>
      </c>
      <c r="CI16">
        <v>23837075</v>
      </c>
      <c r="CJ16">
        <v>-2228882</v>
      </c>
      <c r="CK16" t="s">
        <v>590</v>
      </c>
      <c r="CL16">
        <v>-2228882</v>
      </c>
      <c r="CM16" t="s">
        <v>590</v>
      </c>
      <c r="CN16">
        <v>0</v>
      </c>
      <c r="CO16">
        <v>21557299</v>
      </c>
      <c r="CP16">
        <v>17178644</v>
      </c>
      <c r="CQ16">
        <v>-13249515</v>
      </c>
      <c r="CR16">
        <v>1196428</v>
      </c>
      <c r="CS16">
        <v>294118</v>
      </c>
      <c r="CT16">
        <v>25486428</v>
      </c>
      <c r="CU16">
        <v>21608193</v>
      </c>
      <c r="CV16" s="2">
        <v>-2228882</v>
      </c>
      <c r="CW16" t="s">
        <v>590</v>
      </c>
      <c r="CX16" t="s">
        <v>426</v>
      </c>
      <c r="CY16">
        <v>0</v>
      </c>
      <c r="CZ16" t="s">
        <v>426</v>
      </c>
      <c r="DA16">
        <v>0</v>
      </c>
      <c r="DB16">
        <v>0</v>
      </c>
      <c r="DC16">
        <v>0</v>
      </c>
      <c r="DD16" t="s">
        <v>426</v>
      </c>
    </row>
    <row r="17" spans="1:108">
      <c r="A17" t="s">
        <v>32</v>
      </c>
      <c r="B17" t="s">
        <v>34</v>
      </c>
      <c r="C17" t="s">
        <v>204</v>
      </c>
      <c r="D17" t="s">
        <v>205</v>
      </c>
      <c r="E17">
        <v>2024</v>
      </c>
      <c r="F17" t="s">
        <v>206</v>
      </c>
      <c r="G17" t="s">
        <v>203</v>
      </c>
      <c r="H17" t="s">
        <v>43</v>
      </c>
      <c r="I17" s="37" t="s">
        <v>1214</v>
      </c>
      <c r="J17" s="37" t="s">
        <v>1217</v>
      </c>
      <c r="K17" s="18">
        <f t="shared" si="0"/>
        <v>12362017</v>
      </c>
      <c r="L17" s="44">
        <v>175000</v>
      </c>
      <c r="M17" s="18">
        <f t="shared" si="1"/>
        <v>622830</v>
      </c>
      <c r="P17" s="18">
        <f t="shared" si="2"/>
        <v>10579832</v>
      </c>
      <c r="Q17" s="18">
        <v>2000000</v>
      </c>
      <c r="R17" s="44">
        <f>Q17/1.19</f>
        <v>1680672.2689075631</v>
      </c>
      <c r="S17" s="18">
        <f t="shared" si="4"/>
        <v>0</v>
      </c>
      <c r="U17" s="18">
        <v>600000</v>
      </c>
      <c r="V17" s="44">
        <f t="shared" si="11"/>
        <v>504201.68067226891</v>
      </c>
      <c r="W17" s="18">
        <f t="shared" si="6"/>
        <v>249999.96</v>
      </c>
      <c r="X17" s="44">
        <v>210084</v>
      </c>
      <c r="Y17" s="47">
        <f t="shared" si="7"/>
        <v>-185057.05042016803</v>
      </c>
      <c r="Z17" s="40">
        <f>VLOOKUP(D17,'Archivo con Bonos Ingresados '!V:CB,59,0)</f>
        <v>-185057</v>
      </c>
      <c r="AA17" s="18">
        <f t="shared" si="8"/>
        <v>5.042016803054139E-2</v>
      </c>
      <c r="AB17" s="18">
        <f t="shared" si="9"/>
        <v>-1.7491492343183526</v>
      </c>
      <c r="AC17" t="s">
        <v>865</v>
      </c>
      <c r="AD17">
        <v>5929</v>
      </c>
      <c r="AE17">
        <v>7697564</v>
      </c>
      <c r="AF17" t="s">
        <v>592</v>
      </c>
      <c r="AG17" t="s">
        <v>866</v>
      </c>
      <c r="AH17" t="s">
        <v>426</v>
      </c>
      <c r="AI17" t="s">
        <v>867</v>
      </c>
      <c r="AJ17" t="s">
        <v>426</v>
      </c>
      <c r="AK17" t="s">
        <v>614</v>
      </c>
      <c r="AL17" t="s">
        <v>868</v>
      </c>
      <c r="AM17" t="s">
        <v>869</v>
      </c>
      <c r="AP17" t="s">
        <v>805</v>
      </c>
      <c r="AQ17" t="s">
        <v>204</v>
      </c>
      <c r="AR17" t="s">
        <v>39</v>
      </c>
      <c r="AS17" t="s">
        <v>206</v>
      </c>
      <c r="AT17" t="s">
        <v>206</v>
      </c>
      <c r="AU17" t="s">
        <v>433</v>
      </c>
      <c r="AV17" t="s">
        <v>434</v>
      </c>
      <c r="AW17">
        <v>19887</v>
      </c>
      <c r="AX17" t="s">
        <v>690</v>
      </c>
      <c r="AY17" t="s">
        <v>426</v>
      </c>
      <c r="AZ17" t="s">
        <v>871</v>
      </c>
      <c r="BA17">
        <v>12362017</v>
      </c>
      <c r="BB17" t="s">
        <v>849</v>
      </c>
      <c r="BD17">
        <v>0</v>
      </c>
      <c r="BE17" t="s">
        <v>543</v>
      </c>
      <c r="BF17" t="s">
        <v>849</v>
      </c>
      <c r="BG17" t="s">
        <v>566</v>
      </c>
      <c r="BH17" t="s">
        <v>439</v>
      </c>
      <c r="BI17" t="s">
        <v>426</v>
      </c>
      <c r="BJ17">
        <v>202</v>
      </c>
      <c r="BK17">
        <v>13436975</v>
      </c>
      <c r="BL17">
        <v>-2394958</v>
      </c>
      <c r="BM17">
        <v>-462185</v>
      </c>
      <c r="BN17">
        <v>10579832</v>
      </c>
      <c r="BO17">
        <v>12362017</v>
      </c>
      <c r="BP17">
        <v>-1782185</v>
      </c>
      <c r="BQ17" t="s">
        <v>872</v>
      </c>
      <c r="BR17">
        <v>-622830</v>
      </c>
      <c r="BS17">
        <v>0</v>
      </c>
      <c r="BT17">
        <v>622830</v>
      </c>
      <c r="BU17">
        <v>-622830</v>
      </c>
      <c r="BV17" t="s">
        <v>873</v>
      </c>
      <c r="BW17">
        <v>0</v>
      </c>
      <c r="BX17">
        <v>0</v>
      </c>
      <c r="BY17">
        <v>0</v>
      </c>
      <c r="BZ17">
        <v>0</v>
      </c>
      <c r="CA17" t="s">
        <v>441</v>
      </c>
      <c r="CB17">
        <v>0</v>
      </c>
      <c r="CC17">
        <v>0</v>
      </c>
      <c r="CD17">
        <v>0</v>
      </c>
      <c r="CE17">
        <v>0</v>
      </c>
      <c r="CF17" t="s">
        <v>441</v>
      </c>
      <c r="CG17">
        <v>11042017</v>
      </c>
      <c r="CH17">
        <v>10579832</v>
      </c>
      <c r="CI17">
        <v>12984847</v>
      </c>
      <c r="CJ17">
        <v>-2405015</v>
      </c>
      <c r="CK17" t="s">
        <v>874</v>
      </c>
      <c r="CL17">
        <v>-2405015</v>
      </c>
      <c r="CM17" t="s">
        <v>874</v>
      </c>
      <c r="CN17">
        <v>0</v>
      </c>
      <c r="CO17">
        <v>0</v>
      </c>
      <c r="CP17">
        <v>12672230</v>
      </c>
      <c r="CQ17">
        <v>-82230</v>
      </c>
      <c r="CR17">
        <v>0</v>
      </c>
      <c r="CS17">
        <v>0</v>
      </c>
      <c r="CT17">
        <v>12590000</v>
      </c>
      <c r="CU17">
        <v>10579832</v>
      </c>
      <c r="CV17" s="2">
        <v>-2405015</v>
      </c>
      <c r="CW17" t="s">
        <v>874</v>
      </c>
      <c r="CX17" t="s">
        <v>426</v>
      </c>
      <c r="CY17">
        <v>0</v>
      </c>
      <c r="CZ17" t="s">
        <v>426</v>
      </c>
      <c r="DA17">
        <v>0</v>
      </c>
      <c r="DB17">
        <v>0</v>
      </c>
      <c r="DC17">
        <v>0</v>
      </c>
      <c r="DD17" t="s">
        <v>426</v>
      </c>
    </row>
    <row r="18" spans="1:108">
      <c r="A18" t="s">
        <v>32</v>
      </c>
      <c r="B18" t="s">
        <v>36</v>
      </c>
      <c r="C18" t="s">
        <v>185</v>
      </c>
      <c r="D18" t="s">
        <v>186</v>
      </c>
      <c r="E18">
        <v>2023</v>
      </c>
      <c r="F18" t="s">
        <v>187</v>
      </c>
      <c r="G18" t="s">
        <v>184</v>
      </c>
      <c r="H18" t="s">
        <v>55</v>
      </c>
      <c r="I18" s="37" t="s">
        <v>1214</v>
      </c>
      <c r="J18" s="37" t="s">
        <v>1219</v>
      </c>
      <c r="K18" s="18">
        <f t="shared" si="0"/>
        <v>15190500</v>
      </c>
      <c r="L18" s="44">
        <v>235000</v>
      </c>
      <c r="M18" s="18">
        <f t="shared" si="1"/>
        <v>573980</v>
      </c>
      <c r="P18" s="18">
        <f t="shared" si="2"/>
        <v>17120198</v>
      </c>
      <c r="Q18" s="18">
        <f>R18*1.19</f>
        <v>0</v>
      </c>
      <c r="S18" s="18">
        <f t="shared" si="4"/>
        <v>0</v>
      </c>
      <c r="V18" s="18">
        <f t="shared" si="11"/>
        <v>0</v>
      </c>
      <c r="W18" s="18">
        <f t="shared" si="6"/>
        <v>0</v>
      </c>
      <c r="Y18" s="47">
        <f t="shared" si="7"/>
        <v>1120718</v>
      </c>
      <c r="Z18" s="40">
        <f>VLOOKUP(D18,'Archivo con Bonos Ingresados '!V:CB,59,0)</f>
        <v>1120718</v>
      </c>
      <c r="AA18" s="18">
        <f t="shared" si="8"/>
        <v>0</v>
      </c>
      <c r="AB18" s="18">
        <f t="shared" si="9"/>
        <v>6.5461742907412637</v>
      </c>
      <c r="AC18" t="s">
        <v>812</v>
      </c>
      <c r="AD18">
        <v>5897</v>
      </c>
      <c r="AE18">
        <v>76235534</v>
      </c>
      <c r="AF18" t="s">
        <v>676</v>
      </c>
      <c r="AG18" t="s">
        <v>813</v>
      </c>
      <c r="AH18" t="s">
        <v>814</v>
      </c>
      <c r="AI18" t="s">
        <v>815</v>
      </c>
      <c r="AJ18" t="s">
        <v>426</v>
      </c>
      <c r="AK18" t="s">
        <v>816</v>
      </c>
      <c r="AL18" t="s">
        <v>426</v>
      </c>
      <c r="AM18" t="s">
        <v>817</v>
      </c>
      <c r="AP18" t="s">
        <v>818</v>
      </c>
      <c r="AQ18" t="s">
        <v>185</v>
      </c>
      <c r="AR18" t="s">
        <v>39</v>
      </c>
      <c r="AS18" t="s">
        <v>187</v>
      </c>
      <c r="AT18" t="s">
        <v>187</v>
      </c>
      <c r="AU18" t="s">
        <v>433</v>
      </c>
      <c r="AV18" t="s">
        <v>584</v>
      </c>
      <c r="AW18">
        <v>19844</v>
      </c>
      <c r="AX18" t="s">
        <v>478</v>
      </c>
      <c r="AY18" t="s">
        <v>426</v>
      </c>
      <c r="AZ18" t="s">
        <v>819</v>
      </c>
      <c r="BA18">
        <v>15190500</v>
      </c>
      <c r="BB18" t="s">
        <v>478</v>
      </c>
      <c r="BD18">
        <v>0</v>
      </c>
      <c r="BE18" t="s">
        <v>565</v>
      </c>
      <c r="BF18" t="s">
        <v>478</v>
      </c>
      <c r="BG18" t="s">
        <v>438</v>
      </c>
      <c r="BH18" t="s">
        <v>439</v>
      </c>
      <c r="BI18" t="s">
        <v>426</v>
      </c>
      <c r="BJ18">
        <v>15</v>
      </c>
      <c r="BK18">
        <v>20990000</v>
      </c>
      <c r="BL18">
        <v>0</v>
      </c>
      <c r="BM18">
        <v>-4443782</v>
      </c>
      <c r="BN18">
        <v>16546218</v>
      </c>
      <c r="BO18">
        <v>15190500</v>
      </c>
      <c r="BP18">
        <v>1355718</v>
      </c>
      <c r="BQ18" t="s">
        <v>820</v>
      </c>
      <c r="BR18">
        <v>0</v>
      </c>
      <c r="BS18">
        <v>573980</v>
      </c>
      <c r="BT18">
        <v>573980</v>
      </c>
      <c r="BU18">
        <v>0</v>
      </c>
      <c r="BV18" t="s">
        <v>441</v>
      </c>
      <c r="BW18">
        <v>0</v>
      </c>
      <c r="BX18">
        <v>0</v>
      </c>
      <c r="BY18">
        <v>0</v>
      </c>
      <c r="BZ18">
        <v>0</v>
      </c>
      <c r="CA18" t="s">
        <v>441</v>
      </c>
      <c r="CB18">
        <v>0</v>
      </c>
      <c r="CC18">
        <v>0</v>
      </c>
      <c r="CD18">
        <v>0</v>
      </c>
      <c r="CE18">
        <v>0</v>
      </c>
      <c r="CF18" t="s">
        <v>441</v>
      </c>
      <c r="CG18">
        <v>20990000</v>
      </c>
      <c r="CH18">
        <v>17120198</v>
      </c>
      <c r="CI18">
        <v>15764480</v>
      </c>
      <c r="CJ18">
        <v>1355718</v>
      </c>
      <c r="CK18" t="s">
        <v>821</v>
      </c>
      <c r="CL18">
        <v>1355718</v>
      </c>
      <c r="CM18" t="s">
        <v>821</v>
      </c>
      <c r="CN18">
        <v>0</v>
      </c>
      <c r="CO18">
        <v>0</v>
      </c>
      <c r="CP18">
        <v>20263980</v>
      </c>
      <c r="CQ18">
        <v>0</v>
      </c>
      <c r="CR18">
        <v>573980</v>
      </c>
      <c r="CS18">
        <v>0</v>
      </c>
      <c r="CT18">
        <v>20263979</v>
      </c>
      <c r="CU18">
        <v>17120198</v>
      </c>
      <c r="CV18" s="2">
        <v>1355718</v>
      </c>
      <c r="CW18" t="s">
        <v>821</v>
      </c>
      <c r="CX18" t="s">
        <v>426</v>
      </c>
      <c r="CY18">
        <v>0</v>
      </c>
      <c r="CZ18" t="s">
        <v>426</v>
      </c>
      <c r="DA18">
        <v>0</v>
      </c>
      <c r="DB18">
        <v>0</v>
      </c>
      <c r="DC18">
        <v>0</v>
      </c>
      <c r="DD18" t="s">
        <v>426</v>
      </c>
    </row>
    <row r="19" spans="1:108">
      <c r="A19" t="s">
        <v>32</v>
      </c>
      <c r="B19" t="s">
        <v>34</v>
      </c>
      <c r="C19" t="s">
        <v>47</v>
      </c>
      <c r="D19" t="s">
        <v>182</v>
      </c>
      <c r="E19">
        <v>2024</v>
      </c>
      <c r="F19" t="s">
        <v>183</v>
      </c>
      <c r="G19" t="s">
        <v>181</v>
      </c>
      <c r="H19" t="s">
        <v>33</v>
      </c>
      <c r="I19" s="37" t="s">
        <v>1214</v>
      </c>
      <c r="J19" s="37" t="s">
        <v>1217</v>
      </c>
      <c r="K19" s="18">
        <f t="shared" si="0"/>
        <v>12748571</v>
      </c>
      <c r="L19" s="44">
        <v>175000</v>
      </c>
      <c r="M19" s="18">
        <f t="shared" si="1"/>
        <v>699835</v>
      </c>
      <c r="P19" s="18">
        <f t="shared" si="2"/>
        <v>11195633</v>
      </c>
      <c r="Q19" s="18">
        <v>2000000</v>
      </c>
      <c r="R19" s="44">
        <f>Q19/1.19</f>
        <v>1680672.2689075631</v>
      </c>
      <c r="S19" s="18">
        <f t="shared" si="4"/>
        <v>0</v>
      </c>
      <c r="U19" s="18">
        <v>1000000</v>
      </c>
      <c r="V19" s="44">
        <f t="shared" si="11"/>
        <v>840336.13445378153</v>
      </c>
      <c r="W19" s="18">
        <v>250000</v>
      </c>
      <c r="X19" s="44">
        <f>W19/1.19</f>
        <v>210084.03361344538</v>
      </c>
      <c r="Y19" s="47">
        <f t="shared" si="7"/>
        <v>303319.43697478995</v>
      </c>
      <c r="Z19" s="40">
        <f>VLOOKUP(D19,'Archivo con Bonos Ingresados '!V:CB,59,0)</f>
        <v>303319</v>
      </c>
      <c r="AA19" s="18">
        <f t="shared" si="8"/>
        <v>-0.43697478994727135</v>
      </c>
      <c r="AB19" s="18">
        <f t="shared" si="9"/>
        <v>2.7092656304006209</v>
      </c>
      <c r="AC19" t="s">
        <v>799</v>
      </c>
      <c r="AD19">
        <v>5885</v>
      </c>
      <c r="AE19">
        <v>13161261</v>
      </c>
      <c r="AF19" t="s">
        <v>423</v>
      </c>
      <c r="AG19" t="s">
        <v>800</v>
      </c>
      <c r="AH19" t="s">
        <v>426</v>
      </c>
      <c r="AI19" t="s">
        <v>801</v>
      </c>
      <c r="AJ19" t="s">
        <v>426</v>
      </c>
      <c r="AK19" t="s">
        <v>802</v>
      </c>
      <c r="AL19" t="s">
        <v>803</v>
      </c>
      <c r="AM19" t="s">
        <v>804</v>
      </c>
      <c r="AP19" t="s">
        <v>805</v>
      </c>
      <c r="AQ19" t="s">
        <v>47</v>
      </c>
      <c r="AR19" t="s">
        <v>35</v>
      </c>
      <c r="AS19" t="s">
        <v>183</v>
      </c>
      <c r="AT19" t="s">
        <v>183</v>
      </c>
      <c r="AU19" t="s">
        <v>433</v>
      </c>
      <c r="AV19" t="s">
        <v>584</v>
      </c>
      <c r="AW19">
        <v>19886</v>
      </c>
      <c r="AX19" t="s">
        <v>671</v>
      </c>
      <c r="AY19" t="s">
        <v>426</v>
      </c>
      <c r="AZ19" t="s">
        <v>807</v>
      </c>
      <c r="BA19">
        <v>12748571</v>
      </c>
      <c r="BB19" t="s">
        <v>808</v>
      </c>
      <c r="BD19">
        <v>0</v>
      </c>
      <c r="BE19" t="s">
        <v>543</v>
      </c>
      <c r="BF19" t="s">
        <v>808</v>
      </c>
      <c r="BG19" t="s">
        <v>481</v>
      </c>
      <c r="BH19" t="s">
        <v>439</v>
      </c>
      <c r="BI19" t="s">
        <v>809</v>
      </c>
      <c r="BJ19">
        <v>506</v>
      </c>
      <c r="BK19">
        <v>14697479</v>
      </c>
      <c r="BL19">
        <v>-2521008</v>
      </c>
      <c r="BM19">
        <v>-1680672</v>
      </c>
      <c r="BN19">
        <v>10495798</v>
      </c>
      <c r="BO19">
        <v>12748571</v>
      </c>
      <c r="BP19">
        <v>-2252773</v>
      </c>
      <c r="BQ19" t="s">
        <v>810</v>
      </c>
      <c r="BR19">
        <v>0</v>
      </c>
      <c r="BS19">
        <v>699835</v>
      </c>
      <c r="BT19">
        <v>699835</v>
      </c>
      <c r="BU19">
        <v>0</v>
      </c>
      <c r="BV19" t="s">
        <v>441</v>
      </c>
      <c r="BW19">
        <v>0</v>
      </c>
      <c r="BX19">
        <v>0</v>
      </c>
      <c r="BY19">
        <v>0</v>
      </c>
      <c r="BZ19">
        <v>0</v>
      </c>
      <c r="CA19" t="s">
        <v>441</v>
      </c>
      <c r="CB19">
        <v>0</v>
      </c>
      <c r="CC19">
        <v>0</v>
      </c>
      <c r="CD19">
        <v>0</v>
      </c>
      <c r="CE19">
        <v>0</v>
      </c>
      <c r="CF19" t="s">
        <v>441</v>
      </c>
      <c r="CG19">
        <v>12176471</v>
      </c>
      <c r="CH19">
        <v>11195633</v>
      </c>
      <c r="CI19">
        <v>13448406</v>
      </c>
      <c r="CJ19">
        <v>-2252773</v>
      </c>
      <c r="CK19" t="s">
        <v>811</v>
      </c>
      <c r="CL19">
        <v>-2252773</v>
      </c>
      <c r="CM19" t="s">
        <v>811</v>
      </c>
      <c r="CN19">
        <v>0</v>
      </c>
      <c r="CO19">
        <v>3500000</v>
      </c>
      <c r="CP19">
        <v>9738652</v>
      </c>
      <c r="CQ19">
        <v>-48817</v>
      </c>
      <c r="CR19">
        <v>699835</v>
      </c>
      <c r="CS19">
        <v>0</v>
      </c>
      <c r="CT19">
        <v>13189835</v>
      </c>
      <c r="CU19">
        <v>11195633</v>
      </c>
      <c r="CV19" s="2">
        <v>-2252773</v>
      </c>
      <c r="CW19" t="s">
        <v>811</v>
      </c>
      <c r="CX19" t="s">
        <v>426</v>
      </c>
      <c r="CY19">
        <v>0</v>
      </c>
      <c r="CZ19" t="s">
        <v>426</v>
      </c>
      <c r="DA19">
        <v>0</v>
      </c>
      <c r="DB19">
        <v>0</v>
      </c>
      <c r="DC19">
        <v>0</v>
      </c>
      <c r="DD19" t="s">
        <v>426</v>
      </c>
    </row>
    <row r="20" spans="1:108">
      <c r="A20" t="s">
        <v>4</v>
      </c>
      <c r="B20" t="s">
        <v>6</v>
      </c>
      <c r="C20" t="s">
        <v>71</v>
      </c>
      <c r="D20" t="s">
        <v>72</v>
      </c>
      <c r="E20">
        <v>2025</v>
      </c>
      <c r="F20" t="s">
        <v>73</v>
      </c>
      <c r="G20" t="s">
        <v>70</v>
      </c>
      <c r="H20" t="s">
        <v>5</v>
      </c>
      <c r="I20" s="39" t="s">
        <v>1214</v>
      </c>
      <c r="J20" s="37" t="s">
        <v>1221</v>
      </c>
      <c r="K20" s="18">
        <f t="shared" si="0"/>
        <v>12096160</v>
      </c>
      <c r="L20" s="44">
        <v>90000</v>
      </c>
      <c r="M20" s="18">
        <f t="shared" si="1"/>
        <v>328487</v>
      </c>
      <c r="P20" s="18">
        <f t="shared" si="2"/>
        <v>11076386</v>
      </c>
      <c r="Q20" s="42">
        <f t="shared" ref="Q20:Q27" si="12">R20*1.19</f>
        <v>1606500</v>
      </c>
      <c r="R20" s="45">
        <v>1350000</v>
      </c>
      <c r="S20" s="18">
        <f t="shared" si="4"/>
        <v>0</v>
      </c>
      <c r="U20" s="18">
        <v>150000</v>
      </c>
      <c r="V20" s="44">
        <f t="shared" si="11"/>
        <v>126050.42016806723</v>
      </c>
      <c r="W20" s="18">
        <v>500000</v>
      </c>
      <c r="X20" s="18">
        <f>W20/1.19</f>
        <v>420168.06722689077</v>
      </c>
      <c r="Y20" s="47">
        <f t="shared" si="7"/>
        <v>457957.48739495798</v>
      </c>
      <c r="Z20" s="40">
        <f>VLOOKUP(D20,'Archivo con Bonos Ingresados '!V:CB,59,0)</f>
        <v>37789</v>
      </c>
      <c r="AA20" s="18">
        <f t="shared" si="8"/>
        <v>-420168.48739495798</v>
      </c>
      <c r="AB20" s="18">
        <f t="shared" si="9"/>
        <v>4.1345388955834332</v>
      </c>
      <c r="AC20" t="s">
        <v>699</v>
      </c>
      <c r="AD20">
        <v>5946</v>
      </c>
      <c r="AE20">
        <v>76431332</v>
      </c>
      <c r="AF20" t="s">
        <v>503</v>
      </c>
      <c r="AG20" t="s">
        <v>700</v>
      </c>
      <c r="AH20" t="s">
        <v>701</v>
      </c>
      <c r="AI20" t="s">
        <v>426</v>
      </c>
      <c r="AJ20" t="s">
        <v>426</v>
      </c>
      <c r="AK20" t="s">
        <v>474</v>
      </c>
      <c r="AL20" t="s">
        <v>426</v>
      </c>
      <c r="AM20" t="s">
        <v>702</v>
      </c>
      <c r="AN20" t="s">
        <v>426</v>
      </c>
      <c r="AO20" t="s">
        <v>490</v>
      </c>
      <c r="AP20" t="s">
        <v>491</v>
      </c>
      <c r="AQ20" t="s">
        <v>642</v>
      </c>
      <c r="AR20" t="s">
        <v>7</v>
      </c>
      <c r="AS20" t="s">
        <v>73</v>
      </c>
      <c r="AT20" t="s">
        <v>73</v>
      </c>
      <c r="AU20" t="s">
        <v>433</v>
      </c>
      <c r="AV20" t="s">
        <v>434</v>
      </c>
      <c r="AW20">
        <v>19943</v>
      </c>
      <c r="AX20" t="s">
        <v>703</v>
      </c>
      <c r="AY20" t="s">
        <v>426</v>
      </c>
      <c r="AZ20" t="s">
        <v>704</v>
      </c>
      <c r="BA20">
        <v>12096160</v>
      </c>
      <c r="BB20" t="s">
        <v>705</v>
      </c>
      <c r="BC20" t="s">
        <v>426</v>
      </c>
      <c r="BD20">
        <v>0</v>
      </c>
      <c r="BE20" t="s">
        <v>437</v>
      </c>
      <c r="BF20" t="s">
        <v>705</v>
      </c>
      <c r="BG20" t="s">
        <v>499</v>
      </c>
      <c r="BH20" t="s">
        <v>439</v>
      </c>
      <c r="BI20" t="s">
        <v>706</v>
      </c>
      <c r="BJ20">
        <v>98</v>
      </c>
      <c r="BK20">
        <v>13840000</v>
      </c>
      <c r="BL20">
        <v>-2150000</v>
      </c>
      <c r="BM20">
        <v>-942101</v>
      </c>
      <c r="BN20">
        <v>10747899</v>
      </c>
      <c r="BO20">
        <v>10746160</v>
      </c>
      <c r="BP20">
        <v>1739</v>
      </c>
      <c r="BQ20" t="s">
        <v>707</v>
      </c>
      <c r="BR20">
        <v>0</v>
      </c>
      <c r="BS20">
        <v>328487</v>
      </c>
      <c r="BT20">
        <v>328487</v>
      </c>
      <c r="BU20">
        <v>0</v>
      </c>
      <c r="BV20" t="s">
        <v>441</v>
      </c>
      <c r="BW20">
        <v>0</v>
      </c>
      <c r="BX20">
        <v>0</v>
      </c>
      <c r="BY20">
        <v>0</v>
      </c>
      <c r="BZ20">
        <v>0</v>
      </c>
      <c r="CA20" t="s">
        <v>441</v>
      </c>
      <c r="CB20">
        <v>0</v>
      </c>
      <c r="CC20">
        <v>0</v>
      </c>
      <c r="CD20">
        <v>0</v>
      </c>
      <c r="CE20">
        <v>0</v>
      </c>
      <c r="CF20" t="s">
        <v>441</v>
      </c>
      <c r="CG20">
        <v>11690000</v>
      </c>
      <c r="CH20">
        <v>11076386</v>
      </c>
      <c r="CI20">
        <v>11074647</v>
      </c>
      <c r="CJ20">
        <v>1739</v>
      </c>
      <c r="CK20" t="s">
        <v>707</v>
      </c>
      <c r="CL20">
        <v>1739</v>
      </c>
      <c r="CM20" t="s">
        <v>707</v>
      </c>
      <c r="CN20">
        <v>0</v>
      </c>
      <c r="CO20">
        <v>9000000</v>
      </c>
      <c r="CP20">
        <v>10709913</v>
      </c>
      <c r="CQ20">
        <v>-6591426</v>
      </c>
      <c r="CR20">
        <v>328487</v>
      </c>
      <c r="CS20">
        <v>0</v>
      </c>
      <c r="CT20">
        <v>13118487</v>
      </c>
      <c r="CU20">
        <v>11076386</v>
      </c>
      <c r="CV20" s="2">
        <v>1739</v>
      </c>
      <c r="CW20" t="s">
        <v>707</v>
      </c>
      <c r="CX20" t="s">
        <v>426</v>
      </c>
      <c r="CY20">
        <v>0</v>
      </c>
      <c r="CZ20" t="s">
        <v>426</v>
      </c>
      <c r="DA20">
        <v>0</v>
      </c>
      <c r="DB20">
        <v>1606500</v>
      </c>
      <c r="DC20">
        <v>0</v>
      </c>
      <c r="DD20" t="s">
        <v>426</v>
      </c>
    </row>
    <row r="21" spans="1:108">
      <c r="A21" t="s">
        <v>4</v>
      </c>
      <c r="B21" t="s">
        <v>6</v>
      </c>
      <c r="C21" t="s">
        <v>24</v>
      </c>
      <c r="D21" t="s">
        <v>144</v>
      </c>
      <c r="E21">
        <v>2025</v>
      </c>
      <c r="F21" t="s">
        <v>145</v>
      </c>
      <c r="G21" t="s">
        <v>70</v>
      </c>
      <c r="H21" t="s">
        <v>5</v>
      </c>
      <c r="I21" s="37" t="s">
        <v>1216</v>
      </c>
      <c r="J21" s="37" t="s">
        <v>1217</v>
      </c>
      <c r="K21" s="18">
        <f t="shared" si="0"/>
        <v>11287520</v>
      </c>
      <c r="L21" s="44">
        <v>90000</v>
      </c>
      <c r="M21" s="18">
        <f t="shared" si="1"/>
        <v>295713</v>
      </c>
      <c r="P21" s="18">
        <f t="shared" si="2"/>
        <v>9951175</v>
      </c>
      <c r="Q21" s="18">
        <f t="shared" si="12"/>
        <v>1487500</v>
      </c>
      <c r="R21" s="44">
        <v>1250000</v>
      </c>
      <c r="S21" s="18">
        <f t="shared" si="4"/>
        <v>0</v>
      </c>
      <c r="T21" s="42"/>
      <c r="V21" s="18">
        <f t="shared" si="11"/>
        <v>0</v>
      </c>
      <c r="W21" s="18">
        <f t="shared" ref="W21:W48" si="13">X21*1.19</f>
        <v>0</v>
      </c>
      <c r="X21" s="42"/>
      <c r="Y21" s="47">
        <f t="shared" si="7"/>
        <v>-472058</v>
      </c>
      <c r="Z21" s="40">
        <f>VLOOKUP(D21,'Archivo con Bonos Ingresados '!V:CB,59,0)</f>
        <v>-472058</v>
      </c>
      <c r="AA21" s="18">
        <f t="shared" si="8"/>
        <v>0</v>
      </c>
      <c r="AB21" s="18">
        <f t="shared" si="9"/>
        <v>-4.7437413169801559</v>
      </c>
      <c r="AC21" t="s">
        <v>708</v>
      </c>
      <c r="AD21">
        <v>5947</v>
      </c>
      <c r="AE21">
        <v>76431332</v>
      </c>
      <c r="AF21" t="s">
        <v>503</v>
      </c>
      <c r="AG21" t="s">
        <v>700</v>
      </c>
      <c r="AH21" t="s">
        <v>701</v>
      </c>
      <c r="AI21" t="s">
        <v>426</v>
      </c>
      <c r="AJ21" t="s">
        <v>426</v>
      </c>
      <c r="AK21" t="s">
        <v>474</v>
      </c>
      <c r="AL21" t="s">
        <v>426</v>
      </c>
      <c r="AM21" t="s">
        <v>702</v>
      </c>
      <c r="AN21" t="s">
        <v>426</v>
      </c>
      <c r="AO21" t="s">
        <v>490</v>
      </c>
      <c r="AP21" t="s">
        <v>491</v>
      </c>
      <c r="AQ21" t="s">
        <v>492</v>
      </c>
      <c r="AR21" t="s">
        <v>7</v>
      </c>
      <c r="AS21" t="s">
        <v>145</v>
      </c>
      <c r="AT21" t="s">
        <v>145</v>
      </c>
      <c r="AU21" t="s">
        <v>433</v>
      </c>
      <c r="AV21" t="s">
        <v>434</v>
      </c>
      <c r="AW21">
        <v>19944</v>
      </c>
      <c r="AX21" t="s">
        <v>703</v>
      </c>
      <c r="AY21" t="s">
        <v>426</v>
      </c>
      <c r="AZ21" t="s">
        <v>709</v>
      </c>
      <c r="BA21">
        <v>11287520</v>
      </c>
      <c r="BB21" t="s">
        <v>705</v>
      </c>
      <c r="BC21" t="s">
        <v>426</v>
      </c>
      <c r="BD21">
        <v>0</v>
      </c>
      <c r="BE21" t="s">
        <v>437</v>
      </c>
      <c r="BF21" t="s">
        <v>705</v>
      </c>
      <c r="BG21" t="s">
        <v>499</v>
      </c>
      <c r="BH21" t="s">
        <v>439</v>
      </c>
      <c r="BI21" t="s">
        <v>426</v>
      </c>
      <c r="BJ21">
        <v>8</v>
      </c>
      <c r="BK21">
        <v>12640000</v>
      </c>
      <c r="BL21">
        <v>-2050000</v>
      </c>
      <c r="BM21">
        <v>-934538</v>
      </c>
      <c r="BN21">
        <v>9655462</v>
      </c>
      <c r="BO21">
        <v>11287520</v>
      </c>
      <c r="BP21">
        <v>-1632058</v>
      </c>
      <c r="BQ21" t="s">
        <v>710</v>
      </c>
      <c r="BR21">
        <v>0</v>
      </c>
      <c r="BS21">
        <v>295713</v>
      </c>
      <c r="BT21">
        <v>295713</v>
      </c>
      <c r="BU21">
        <v>0</v>
      </c>
      <c r="BV21" t="s">
        <v>441</v>
      </c>
      <c r="BW21">
        <v>0</v>
      </c>
      <c r="BX21">
        <v>0</v>
      </c>
      <c r="BY21">
        <v>0</v>
      </c>
      <c r="BZ21">
        <v>0</v>
      </c>
      <c r="CA21" t="s">
        <v>441</v>
      </c>
      <c r="CB21">
        <v>0</v>
      </c>
      <c r="CC21">
        <v>0</v>
      </c>
      <c r="CD21">
        <v>0</v>
      </c>
      <c r="CE21">
        <v>0</v>
      </c>
      <c r="CF21" t="s">
        <v>441</v>
      </c>
      <c r="CG21">
        <v>10590000</v>
      </c>
      <c r="CH21">
        <v>9951175</v>
      </c>
      <c r="CI21">
        <v>11583233</v>
      </c>
      <c r="CJ21">
        <v>-1632058</v>
      </c>
      <c r="CK21" t="s">
        <v>711</v>
      </c>
      <c r="CL21">
        <v>-1632058</v>
      </c>
      <c r="CM21" t="s">
        <v>711</v>
      </c>
      <c r="CN21">
        <v>0</v>
      </c>
      <c r="CO21">
        <v>0</v>
      </c>
      <c r="CP21">
        <v>11785713</v>
      </c>
      <c r="CQ21">
        <v>0</v>
      </c>
      <c r="CR21">
        <v>295713</v>
      </c>
      <c r="CS21">
        <v>0</v>
      </c>
      <c r="CT21">
        <v>11785713</v>
      </c>
      <c r="CU21">
        <v>9951175</v>
      </c>
      <c r="CV21" s="2">
        <v>-1632058</v>
      </c>
      <c r="CW21" t="s">
        <v>711</v>
      </c>
      <c r="CX21" t="s">
        <v>426</v>
      </c>
      <c r="CY21">
        <v>0</v>
      </c>
      <c r="CZ21" t="s">
        <v>426</v>
      </c>
      <c r="DA21">
        <v>0</v>
      </c>
      <c r="DB21">
        <v>0</v>
      </c>
      <c r="DC21">
        <v>0</v>
      </c>
      <c r="DD21" t="s">
        <v>426</v>
      </c>
    </row>
    <row r="22" spans="1:108">
      <c r="A22" t="s">
        <v>4</v>
      </c>
      <c r="B22" t="s">
        <v>6</v>
      </c>
      <c r="C22" t="s">
        <v>24</v>
      </c>
      <c r="D22" t="s">
        <v>146</v>
      </c>
      <c r="E22">
        <v>2025</v>
      </c>
      <c r="F22" t="s">
        <v>147</v>
      </c>
      <c r="G22" t="s">
        <v>70</v>
      </c>
      <c r="H22" t="s">
        <v>5</v>
      </c>
      <c r="I22" s="37" t="s">
        <v>1216</v>
      </c>
      <c r="J22" s="37" t="s">
        <v>1220</v>
      </c>
      <c r="K22" s="18">
        <f t="shared" si="0"/>
        <v>11287520</v>
      </c>
      <c r="L22" s="44">
        <v>90000</v>
      </c>
      <c r="M22" s="18">
        <f t="shared" si="1"/>
        <v>295713</v>
      </c>
      <c r="P22" s="18">
        <f t="shared" si="2"/>
        <v>9951175</v>
      </c>
      <c r="Q22" s="18">
        <f t="shared" si="12"/>
        <v>1487500</v>
      </c>
      <c r="R22" s="44">
        <v>1250000</v>
      </c>
      <c r="S22" s="18">
        <f t="shared" si="4"/>
        <v>651999.80999999994</v>
      </c>
      <c r="T22" s="44">
        <v>547899</v>
      </c>
      <c r="U22" s="18">
        <v>150000</v>
      </c>
      <c r="V22" s="44">
        <f t="shared" si="11"/>
        <v>126050.42016806723</v>
      </c>
      <c r="W22" s="18">
        <f t="shared" si="13"/>
        <v>0</v>
      </c>
      <c r="X22" s="42"/>
      <c r="Y22" s="47">
        <f t="shared" si="7"/>
        <v>201891.42016806721</v>
      </c>
      <c r="Z22" s="40">
        <f>VLOOKUP(D22,'Archivo con Bonos Ingresados '!V:CB,59,0)</f>
        <v>201891</v>
      </c>
      <c r="AA22" s="18">
        <f t="shared" si="8"/>
        <v>-0.42016806721221656</v>
      </c>
      <c r="AB22" s="18">
        <f t="shared" si="9"/>
        <v>2.0288199149152457</v>
      </c>
      <c r="AC22" t="s">
        <v>712</v>
      </c>
      <c r="AD22">
        <v>5948</v>
      </c>
      <c r="AE22">
        <v>76431332</v>
      </c>
      <c r="AF22" t="s">
        <v>503</v>
      </c>
      <c r="AG22" t="s">
        <v>700</v>
      </c>
      <c r="AH22" t="s">
        <v>701</v>
      </c>
      <c r="AI22" t="s">
        <v>426</v>
      </c>
      <c r="AJ22" t="s">
        <v>426</v>
      </c>
      <c r="AK22" t="s">
        <v>474</v>
      </c>
      <c r="AL22" t="s">
        <v>426</v>
      </c>
      <c r="AM22" t="s">
        <v>702</v>
      </c>
      <c r="AN22" t="s">
        <v>426</v>
      </c>
      <c r="AO22" t="s">
        <v>490</v>
      </c>
      <c r="AP22" t="s">
        <v>491</v>
      </c>
      <c r="AQ22" t="s">
        <v>492</v>
      </c>
      <c r="AR22" t="s">
        <v>7</v>
      </c>
      <c r="AS22" t="s">
        <v>147</v>
      </c>
      <c r="AT22" t="s">
        <v>147</v>
      </c>
      <c r="AU22" t="s">
        <v>433</v>
      </c>
      <c r="AV22" t="s">
        <v>434</v>
      </c>
      <c r="AW22">
        <v>19945</v>
      </c>
      <c r="AX22" t="s">
        <v>703</v>
      </c>
      <c r="AY22" t="s">
        <v>426</v>
      </c>
      <c r="AZ22" t="s">
        <v>713</v>
      </c>
      <c r="BA22">
        <v>11287520</v>
      </c>
      <c r="BB22" t="s">
        <v>705</v>
      </c>
      <c r="BC22" t="s">
        <v>426</v>
      </c>
      <c r="BD22">
        <v>0</v>
      </c>
      <c r="BE22" t="s">
        <v>437</v>
      </c>
      <c r="BF22" t="s">
        <v>705</v>
      </c>
      <c r="BG22" t="s">
        <v>499</v>
      </c>
      <c r="BH22" t="s">
        <v>439</v>
      </c>
      <c r="BI22" t="s">
        <v>426</v>
      </c>
      <c r="BJ22">
        <v>8</v>
      </c>
      <c r="BK22">
        <v>13840000</v>
      </c>
      <c r="BL22">
        <v>-2050000</v>
      </c>
      <c r="BM22">
        <v>-934538</v>
      </c>
      <c r="BN22">
        <v>9655462</v>
      </c>
      <c r="BO22">
        <v>9937520</v>
      </c>
      <c r="BP22">
        <v>-282058</v>
      </c>
      <c r="BQ22" t="s">
        <v>714</v>
      </c>
      <c r="BR22">
        <v>0</v>
      </c>
      <c r="BS22">
        <v>295713</v>
      </c>
      <c r="BT22">
        <v>295713</v>
      </c>
      <c r="BU22">
        <v>0</v>
      </c>
      <c r="BV22" t="s">
        <v>441</v>
      </c>
      <c r="BW22">
        <v>0</v>
      </c>
      <c r="BX22">
        <v>0</v>
      </c>
      <c r="BY22">
        <v>0</v>
      </c>
      <c r="BZ22">
        <v>0</v>
      </c>
      <c r="CA22" t="s">
        <v>441</v>
      </c>
      <c r="CB22">
        <v>0</v>
      </c>
      <c r="CC22">
        <v>0</v>
      </c>
      <c r="CD22">
        <v>0</v>
      </c>
      <c r="CE22">
        <v>0</v>
      </c>
      <c r="CF22" t="s">
        <v>441</v>
      </c>
      <c r="CG22">
        <v>11790000</v>
      </c>
      <c r="CH22">
        <v>9951175</v>
      </c>
      <c r="CI22">
        <v>10233233</v>
      </c>
      <c r="CJ22">
        <v>-282058</v>
      </c>
      <c r="CK22" t="s">
        <v>715</v>
      </c>
      <c r="CL22">
        <v>-282058</v>
      </c>
      <c r="CM22" t="s">
        <v>715</v>
      </c>
      <c r="CN22">
        <v>0</v>
      </c>
      <c r="CO22">
        <v>0</v>
      </c>
      <c r="CP22">
        <v>11785713</v>
      </c>
      <c r="CQ22">
        <v>0</v>
      </c>
      <c r="CR22">
        <v>295713</v>
      </c>
      <c r="CS22">
        <v>0</v>
      </c>
      <c r="CT22">
        <v>11785713</v>
      </c>
      <c r="CU22">
        <v>9951175</v>
      </c>
      <c r="CV22" s="2">
        <v>-282058</v>
      </c>
      <c r="CW22" t="s">
        <v>715</v>
      </c>
      <c r="CX22" t="s">
        <v>426</v>
      </c>
      <c r="CY22">
        <v>0</v>
      </c>
      <c r="CZ22" t="s">
        <v>426</v>
      </c>
      <c r="DA22">
        <v>0</v>
      </c>
      <c r="DB22">
        <v>1606500</v>
      </c>
      <c r="DC22">
        <v>0</v>
      </c>
      <c r="DD22" t="s">
        <v>426</v>
      </c>
    </row>
    <row r="23" spans="1:108">
      <c r="A23" t="s">
        <v>4</v>
      </c>
      <c r="B23" t="s">
        <v>6</v>
      </c>
      <c r="C23" t="s">
        <v>23</v>
      </c>
      <c r="D23" t="s">
        <v>95</v>
      </c>
      <c r="E23">
        <v>2025</v>
      </c>
      <c r="F23" t="s">
        <v>96</v>
      </c>
      <c r="G23" t="s">
        <v>94</v>
      </c>
      <c r="H23" t="s">
        <v>5</v>
      </c>
      <c r="I23" s="37" t="s">
        <v>1214</v>
      </c>
      <c r="J23" s="37" t="s">
        <v>1220</v>
      </c>
      <c r="K23" s="18">
        <f t="shared" si="0"/>
        <v>22640647</v>
      </c>
      <c r="L23" s="44">
        <v>175000</v>
      </c>
      <c r="M23" s="18">
        <f t="shared" si="1"/>
        <v>1186750</v>
      </c>
      <c r="P23" s="18">
        <f t="shared" si="2"/>
        <v>21163557</v>
      </c>
      <c r="Q23" s="18">
        <f t="shared" si="12"/>
        <v>2850000.02</v>
      </c>
      <c r="R23" s="44">
        <v>2394958</v>
      </c>
      <c r="S23" s="18">
        <f t="shared" si="4"/>
        <v>949999.61</v>
      </c>
      <c r="T23" s="44">
        <v>798319</v>
      </c>
      <c r="U23" s="18">
        <v>150000</v>
      </c>
      <c r="V23" s="44">
        <f t="shared" si="11"/>
        <v>126050.42016806723</v>
      </c>
      <c r="W23" s="18">
        <f t="shared" si="13"/>
        <v>291899.86</v>
      </c>
      <c r="X23" s="44">
        <v>245294</v>
      </c>
      <c r="Y23" s="47">
        <f t="shared" si="7"/>
        <v>725781.42016806721</v>
      </c>
      <c r="Z23" s="40">
        <f>VLOOKUP(D23,'Archivo con Bonos Ingresados '!V:CB,59,0)</f>
        <v>725781</v>
      </c>
      <c r="AA23" s="18">
        <f t="shared" si="8"/>
        <v>-0.42016806721221656</v>
      </c>
      <c r="AB23" s="18">
        <f t="shared" si="9"/>
        <v>3.4293924228713881</v>
      </c>
      <c r="AC23" t="s">
        <v>457</v>
      </c>
      <c r="AD23">
        <v>5891</v>
      </c>
      <c r="AE23">
        <v>10265209</v>
      </c>
      <c r="AF23" t="s">
        <v>458</v>
      </c>
      <c r="AG23" t="s">
        <v>459</v>
      </c>
      <c r="AH23" t="s">
        <v>460</v>
      </c>
      <c r="AI23" t="s">
        <v>426</v>
      </c>
      <c r="AJ23" t="s">
        <v>426</v>
      </c>
      <c r="AK23" t="s">
        <v>427</v>
      </c>
      <c r="AL23" t="s">
        <v>461</v>
      </c>
      <c r="AM23" t="s">
        <v>462</v>
      </c>
      <c r="AN23" t="s">
        <v>426</v>
      </c>
      <c r="AO23" t="s">
        <v>463</v>
      </c>
      <c r="AP23" t="s">
        <v>464</v>
      </c>
      <c r="AQ23" t="s">
        <v>465</v>
      </c>
      <c r="AR23" t="s">
        <v>31</v>
      </c>
      <c r="AS23" t="s">
        <v>96</v>
      </c>
      <c r="AT23" t="s">
        <v>426</v>
      </c>
      <c r="AU23" t="s">
        <v>433</v>
      </c>
      <c r="AV23" t="s">
        <v>434</v>
      </c>
      <c r="AW23">
        <v>19823</v>
      </c>
      <c r="AX23" t="s">
        <v>466</v>
      </c>
      <c r="AY23" t="s">
        <v>426</v>
      </c>
      <c r="AZ23" t="s">
        <v>467</v>
      </c>
      <c r="BA23">
        <v>22640647</v>
      </c>
      <c r="BB23" t="s">
        <v>466</v>
      </c>
      <c r="BC23" t="s">
        <v>426</v>
      </c>
      <c r="BD23">
        <v>0</v>
      </c>
      <c r="BE23" t="s">
        <v>437</v>
      </c>
      <c r="BF23" t="s">
        <v>466</v>
      </c>
      <c r="BG23" t="s">
        <v>438</v>
      </c>
      <c r="BH23" t="s">
        <v>439</v>
      </c>
      <c r="BI23" t="s">
        <v>468</v>
      </c>
      <c r="BJ23">
        <v>0</v>
      </c>
      <c r="BK23">
        <v>24529412</v>
      </c>
      <c r="BL23">
        <v>-3571429</v>
      </c>
      <c r="BM23">
        <v>-981176</v>
      </c>
      <c r="BN23">
        <v>19976807</v>
      </c>
      <c r="BO23">
        <v>22640647</v>
      </c>
      <c r="BP23">
        <v>-2663840</v>
      </c>
      <c r="BQ23" t="s">
        <v>469</v>
      </c>
      <c r="BR23">
        <v>0</v>
      </c>
      <c r="BS23">
        <v>1186750</v>
      </c>
      <c r="BT23">
        <v>1186750</v>
      </c>
      <c r="BU23">
        <v>0</v>
      </c>
      <c r="BV23" t="s">
        <v>441</v>
      </c>
      <c r="BW23">
        <v>0</v>
      </c>
      <c r="BX23">
        <v>0</v>
      </c>
      <c r="BY23">
        <v>0</v>
      </c>
      <c r="BZ23">
        <v>0</v>
      </c>
      <c r="CA23" t="s">
        <v>441</v>
      </c>
      <c r="CB23">
        <v>0</v>
      </c>
      <c r="CC23">
        <v>0</v>
      </c>
      <c r="CD23">
        <v>0</v>
      </c>
      <c r="CE23">
        <v>0</v>
      </c>
      <c r="CF23" t="s">
        <v>441</v>
      </c>
      <c r="CG23">
        <v>20957983</v>
      </c>
      <c r="CH23">
        <v>21163557</v>
      </c>
      <c r="CI23">
        <v>23827397</v>
      </c>
      <c r="CJ23">
        <v>-2663840</v>
      </c>
      <c r="CK23" t="s">
        <v>470</v>
      </c>
      <c r="CL23">
        <v>-2663840</v>
      </c>
      <c r="CM23" t="s">
        <v>470</v>
      </c>
      <c r="CN23">
        <v>0</v>
      </c>
      <c r="CO23">
        <v>11000000</v>
      </c>
      <c r="CP23">
        <v>13959150</v>
      </c>
      <c r="CQ23">
        <v>0</v>
      </c>
      <c r="CR23">
        <v>1186750</v>
      </c>
      <c r="CS23">
        <v>0</v>
      </c>
      <c r="CT23">
        <v>24959150</v>
      </c>
      <c r="CU23">
        <v>21163557</v>
      </c>
      <c r="CV23" s="2">
        <v>-2663840</v>
      </c>
      <c r="CW23" t="s">
        <v>470</v>
      </c>
      <c r="CX23" t="s">
        <v>426</v>
      </c>
      <c r="CY23">
        <v>0</v>
      </c>
      <c r="CZ23" t="s">
        <v>426</v>
      </c>
      <c r="DA23">
        <v>0</v>
      </c>
      <c r="DB23">
        <v>0</v>
      </c>
      <c r="DC23">
        <v>0</v>
      </c>
      <c r="DD23" t="s">
        <v>426</v>
      </c>
    </row>
    <row r="24" spans="1:108">
      <c r="A24" t="s">
        <v>4</v>
      </c>
      <c r="B24" t="s">
        <v>6</v>
      </c>
      <c r="C24" t="s">
        <v>29</v>
      </c>
      <c r="D24" t="s">
        <v>156</v>
      </c>
      <c r="E24">
        <v>2025</v>
      </c>
      <c r="F24" t="s">
        <v>157</v>
      </c>
      <c r="G24" t="s">
        <v>155</v>
      </c>
      <c r="H24" t="s">
        <v>8</v>
      </c>
      <c r="I24" s="37" t="s">
        <v>1214</v>
      </c>
      <c r="J24" s="37" t="s">
        <v>1219</v>
      </c>
      <c r="K24" s="18">
        <f t="shared" si="0"/>
        <v>16396017</v>
      </c>
      <c r="L24" s="44">
        <v>145000</v>
      </c>
      <c r="M24" s="18">
        <f t="shared" si="1"/>
        <v>844500</v>
      </c>
      <c r="P24" s="18">
        <f t="shared" si="2"/>
        <v>15672651</v>
      </c>
      <c r="Q24" s="18">
        <f t="shared" si="12"/>
        <v>2199999.4099999997</v>
      </c>
      <c r="R24" s="44">
        <v>1848739</v>
      </c>
      <c r="S24" s="18">
        <f t="shared" si="4"/>
        <v>0</v>
      </c>
      <c r="T24" s="42"/>
      <c r="V24" s="18">
        <f t="shared" si="11"/>
        <v>0</v>
      </c>
      <c r="W24" s="18">
        <f t="shared" si="13"/>
        <v>208899.74</v>
      </c>
      <c r="X24" s="44">
        <v>175546</v>
      </c>
      <c r="Y24" s="47">
        <f t="shared" si="7"/>
        <v>311419</v>
      </c>
      <c r="Z24" s="40">
        <f>VLOOKUP(D24,'Archivo con Bonos Ingresados '!V:CB,59,0)</f>
        <v>311419</v>
      </c>
      <c r="AA24" s="18">
        <f t="shared" si="8"/>
        <v>0</v>
      </c>
      <c r="AB24" s="18">
        <f t="shared" si="9"/>
        <v>1.9870218509938109</v>
      </c>
      <c r="AC24" t="s">
        <v>735</v>
      </c>
      <c r="AD24">
        <v>5951</v>
      </c>
      <c r="AE24">
        <v>4863497</v>
      </c>
      <c r="AF24" t="s">
        <v>485</v>
      </c>
      <c r="AG24" t="s">
        <v>736</v>
      </c>
      <c r="AH24" t="s">
        <v>737</v>
      </c>
      <c r="AI24" t="s">
        <v>426</v>
      </c>
      <c r="AJ24" t="s">
        <v>426</v>
      </c>
      <c r="AK24" t="s">
        <v>488</v>
      </c>
      <c r="AL24" t="s">
        <v>738</v>
      </c>
      <c r="AM24" t="s">
        <v>739</v>
      </c>
      <c r="AN24" t="s">
        <v>426</v>
      </c>
      <c r="AO24" t="s">
        <v>430</v>
      </c>
      <c r="AP24" t="s">
        <v>464</v>
      </c>
      <c r="AQ24" t="s">
        <v>596</v>
      </c>
      <c r="AR24" t="s">
        <v>7</v>
      </c>
      <c r="AS24" t="s">
        <v>157</v>
      </c>
      <c r="AT24" t="s">
        <v>157</v>
      </c>
      <c r="AU24" t="s">
        <v>433</v>
      </c>
      <c r="AV24" t="s">
        <v>434</v>
      </c>
      <c r="AW24">
        <v>19924</v>
      </c>
      <c r="AX24" t="s">
        <v>722</v>
      </c>
      <c r="AY24" t="s">
        <v>426</v>
      </c>
      <c r="AZ24" t="s">
        <v>740</v>
      </c>
      <c r="BA24">
        <v>16396017</v>
      </c>
      <c r="BB24" t="s">
        <v>722</v>
      </c>
      <c r="BC24" t="s">
        <v>426</v>
      </c>
      <c r="BD24">
        <v>0</v>
      </c>
      <c r="BE24" t="s">
        <v>565</v>
      </c>
      <c r="BF24" t="s">
        <v>722</v>
      </c>
      <c r="BG24" t="s">
        <v>481</v>
      </c>
      <c r="BH24" t="s">
        <v>439</v>
      </c>
      <c r="BI24" t="s">
        <v>426</v>
      </c>
      <c r="BJ24">
        <v>0</v>
      </c>
      <c r="BK24">
        <v>17134454</v>
      </c>
      <c r="BL24">
        <v>-1848739</v>
      </c>
      <c r="BM24">
        <v>-457563</v>
      </c>
      <c r="BN24">
        <v>14828151</v>
      </c>
      <c r="BO24">
        <v>16396017</v>
      </c>
      <c r="BP24">
        <v>-1567866</v>
      </c>
      <c r="BQ24" t="s">
        <v>741</v>
      </c>
      <c r="BR24">
        <v>0</v>
      </c>
      <c r="BS24">
        <v>844500</v>
      </c>
      <c r="BT24">
        <v>844500</v>
      </c>
      <c r="BU24">
        <v>0</v>
      </c>
      <c r="BV24" t="s">
        <v>441</v>
      </c>
      <c r="BW24">
        <v>0</v>
      </c>
      <c r="BX24">
        <v>0</v>
      </c>
      <c r="BY24">
        <v>0</v>
      </c>
      <c r="BZ24">
        <v>0</v>
      </c>
      <c r="CA24" t="s">
        <v>441</v>
      </c>
      <c r="CB24">
        <v>0</v>
      </c>
      <c r="CC24">
        <v>0</v>
      </c>
      <c r="CD24">
        <v>0</v>
      </c>
      <c r="CE24">
        <v>0</v>
      </c>
      <c r="CF24" t="s">
        <v>441</v>
      </c>
      <c r="CG24">
        <v>15285715</v>
      </c>
      <c r="CH24">
        <v>15672651</v>
      </c>
      <c r="CI24">
        <v>17240517</v>
      </c>
      <c r="CJ24">
        <v>-1567866</v>
      </c>
      <c r="CK24" t="s">
        <v>742</v>
      </c>
      <c r="CL24">
        <v>-1567866</v>
      </c>
      <c r="CM24" t="s">
        <v>742</v>
      </c>
      <c r="CN24">
        <v>0</v>
      </c>
      <c r="CO24">
        <v>0</v>
      </c>
      <c r="CP24">
        <v>18490000</v>
      </c>
      <c r="CQ24">
        <v>0</v>
      </c>
      <c r="CR24">
        <v>844500</v>
      </c>
      <c r="CS24">
        <v>0</v>
      </c>
      <c r="CT24">
        <v>18490000</v>
      </c>
      <c r="CU24">
        <v>15672651</v>
      </c>
      <c r="CV24" s="2">
        <v>-1567866</v>
      </c>
      <c r="CW24" t="s">
        <v>742</v>
      </c>
      <c r="CX24" t="s">
        <v>426</v>
      </c>
      <c r="CY24">
        <v>0</v>
      </c>
      <c r="CZ24" t="s">
        <v>426</v>
      </c>
      <c r="DA24">
        <v>0</v>
      </c>
      <c r="DB24">
        <v>0</v>
      </c>
      <c r="DC24">
        <v>0</v>
      </c>
      <c r="DD24" t="s">
        <v>426</v>
      </c>
    </row>
    <row r="25" spans="1:108">
      <c r="A25" t="s">
        <v>32</v>
      </c>
      <c r="B25" t="s">
        <v>211</v>
      </c>
      <c r="C25" t="s">
        <v>212</v>
      </c>
      <c r="D25" t="s">
        <v>213</v>
      </c>
      <c r="E25">
        <v>2023</v>
      </c>
      <c r="F25" t="s">
        <v>214</v>
      </c>
      <c r="G25" t="s">
        <v>210</v>
      </c>
      <c r="H25" t="s">
        <v>55</v>
      </c>
      <c r="I25" s="37" t="s">
        <v>1214</v>
      </c>
      <c r="J25" s="37" t="s">
        <v>1219</v>
      </c>
      <c r="K25" s="18">
        <f t="shared" si="0"/>
        <v>9380600</v>
      </c>
      <c r="L25" s="44">
        <v>75000</v>
      </c>
      <c r="M25" s="18">
        <f t="shared" si="1"/>
        <v>336980</v>
      </c>
      <c r="P25" s="18">
        <f t="shared" si="2"/>
        <v>7891602</v>
      </c>
      <c r="Q25" s="18">
        <f t="shared" si="12"/>
        <v>2677500</v>
      </c>
      <c r="R25" s="44">
        <v>2250000</v>
      </c>
      <c r="S25" s="18">
        <f t="shared" si="4"/>
        <v>0</v>
      </c>
      <c r="V25" s="18">
        <f t="shared" si="11"/>
        <v>0</v>
      </c>
      <c r="W25" s="18">
        <f t="shared" si="13"/>
        <v>0</v>
      </c>
      <c r="Y25" s="47">
        <f t="shared" si="7"/>
        <v>349022</v>
      </c>
      <c r="Z25" s="40">
        <f>VLOOKUP(D25,'Archivo con Bonos Ingresados '!V:CB,59,0)</f>
        <v>349022</v>
      </c>
      <c r="AA25" s="18">
        <f t="shared" si="8"/>
        <v>0</v>
      </c>
      <c r="AB25" s="18">
        <f t="shared" si="9"/>
        <v>4.4227014996448126</v>
      </c>
      <c r="AC25" t="s">
        <v>911</v>
      </c>
      <c r="AD25">
        <v>5956</v>
      </c>
      <c r="AE25">
        <v>78060017</v>
      </c>
      <c r="AF25" t="s">
        <v>760</v>
      </c>
      <c r="AG25" t="s">
        <v>912</v>
      </c>
      <c r="AH25" t="s">
        <v>426</v>
      </c>
      <c r="AI25" t="s">
        <v>913</v>
      </c>
      <c r="AJ25" t="s">
        <v>426</v>
      </c>
      <c r="AK25" t="s">
        <v>905</v>
      </c>
      <c r="AL25" t="s">
        <v>426</v>
      </c>
      <c r="AM25" t="s">
        <v>914</v>
      </c>
      <c r="AP25" t="s">
        <v>915</v>
      </c>
      <c r="AQ25" t="s">
        <v>212</v>
      </c>
      <c r="AR25" t="s">
        <v>39</v>
      </c>
      <c r="AS25" t="s">
        <v>214</v>
      </c>
      <c r="AT25" t="s">
        <v>214</v>
      </c>
      <c r="AU25" t="s">
        <v>433</v>
      </c>
      <c r="AV25" t="s">
        <v>584</v>
      </c>
      <c r="AW25">
        <v>19950</v>
      </c>
      <c r="AX25" t="s">
        <v>633</v>
      </c>
      <c r="AY25" t="s">
        <v>426</v>
      </c>
      <c r="AZ25" t="s">
        <v>917</v>
      </c>
      <c r="BA25">
        <v>9380600</v>
      </c>
      <c r="BB25" t="s">
        <v>633</v>
      </c>
      <c r="BD25">
        <v>0</v>
      </c>
      <c r="BE25" t="s">
        <v>565</v>
      </c>
      <c r="BF25" t="s">
        <v>633</v>
      </c>
      <c r="BG25" t="s">
        <v>499</v>
      </c>
      <c r="BH25" t="s">
        <v>439</v>
      </c>
      <c r="BI25" t="s">
        <v>426</v>
      </c>
      <c r="BJ25">
        <v>-6</v>
      </c>
      <c r="BK25">
        <v>10540000</v>
      </c>
      <c r="BL25">
        <v>-2250000</v>
      </c>
      <c r="BM25">
        <v>-735378</v>
      </c>
      <c r="BN25">
        <v>7554622</v>
      </c>
      <c r="BO25">
        <v>9380600</v>
      </c>
      <c r="BP25">
        <v>-1825978</v>
      </c>
      <c r="BQ25" t="s">
        <v>918</v>
      </c>
      <c r="BR25">
        <v>0</v>
      </c>
      <c r="BS25">
        <v>336980</v>
      </c>
      <c r="BT25">
        <v>336980</v>
      </c>
      <c r="BU25">
        <v>0</v>
      </c>
      <c r="BV25" t="s">
        <v>441</v>
      </c>
      <c r="BW25">
        <v>0</v>
      </c>
      <c r="BX25">
        <v>0</v>
      </c>
      <c r="BY25">
        <v>0</v>
      </c>
      <c r="BZ25">
        <v>0</v>
      </c>
      <c r="CA25" t="s">
        <v>441</v>
      </c>
      <c r="CB25">
        <v>0</v>
      </c>
      <c r="CC25">
        <v>0</v>
      </c>
      <c r="CD25">
        <v>0</v>
      </c>
      <c r="CE25">
        <v>0</v>
      </c>
      <c r="CF25" t="s">
        <v>441</v>
      </c>
      <c r="CG25">
        <v>8290000</v>
      </c>
      <c r="CH25">
        <v>7891602</v>
      </c>
      <c r="CI25">
        <v>9717580</v>
      </c>
      <c r="CJ25">
        <v>-1825978</v>
      </c>
      <c r="CK25" t="s">
        <v>919</v>
      </c>
      <c r="CL25">
        <v>-1825978</v>
      </c>
      <c r="CM25" t="s">
        <v>919</v>
      </c>
      <c r="CN25">
        <v>0</v>
      </c>
      <c r="CO25">
        <v>0</v>
      </c>
      <c r="CP25">
        <v>9326980</v>
      </c>
      <c r="CQ25">
        <v>0</v>
      </c>
      <c r="CR25">
        <v>336980</v>
      </c>
      <c r="CS25">
        <v>0</v>
      </c>
      <c r="CT25">
        <v>9326980</v>
      </c>
      <c r="CU25">
        <v>7891602</v>
      </c>
      <c r="CV25" s="2">
        <v>-1825978</v>
      </c>
      <c r="CW25" t="s">
        <v>919</v>
      </c>
      <c r="CX25" t="s">
        <v>426</v>
      </c>
      <c r="CY25">
        <v>0</v>
      </c>
      <c r="CZ25" t="s">
        <v>426</v>
      </c>
      <c r="DA25">
        <v>0</v>
      </c>
      <c r="DB25">
        <v>0</v>
      </c>
      <c r="DC25">
        <v>0</v>
      </c>
      <c r="DD25" t="s">
        <v>426</v>
      </c>
    </row>
    <row r="26" spans="1:108">
      <c r="A26" t="s">
        <v>4</v>
      </c>
      <c r="B26" t="s">
        <v>6</v>
      </c>
      <c r="C26" t="s">
        <v>15</v>
      </c>
      <c r="D26" t="s">
        <v>78</v>
      </c>
      <c r="E26">
        <v>2025</v>
      </c>
      <c r="F26" t="s">
        <v>79</v>
      </c>
      <c r="G26" t="s">
        <v>77</v>
      </c>
      <c r="H26" t="s">
        <v>5</v>
      </c>
      <c r="I26" s="39" t="s">
        <v>1214</v>
      </c>
      <c r="J26" s="37" t="s">
        <v>1219</v>
      </c>
      <c r="K26" s="18">
        <f t="shared" si="0"/>
        <v>13054340</v>
      </c>
      <c r="L26" s="44">
        <v>90000</v>
      </c>
      <c r="M26" s="18">
        <f t="shared" si="1"/>
        <v>485138</v>
      </c>
      <c r="P26" s="18">
        <f t="shared" si="2"/>
        <v>13454738</v>
      </c>
      <c r="Q26" s="42">
        <f t="shared" si="12"/>
        <v>1263708.5999999999</v>
      </c>
      <c r="R26" s="45">
        <v>1061940</v>
      </c>
      <c r="S26" s="18">
        <f t="shared" si="4"/>
        <v>164291.4</v>
      </c>
      <c r="T26" s="44">
        <v>138060</v>
      </c>
      <c r="V26" s="18">
        <f t="shared" si="11"/>
        <v>0</v>
      </c>
      <c r="W26" s="18">
        <f t="shared" si="13"/>
        <v>0</v>
      </c>
      <c r="Y26" s="47">
        <f t="shared" si="7"/>
        <v>1025260</v>
      </c>
      <c r="Z26" s="40">
        <f>VLOOKUP(D26,'Archivo con Bonos Ingresados '!V:CB,59,0)</f>
        <v>1025260</v>
      </c>
      <c r="AA26" s="18">
        <f t="shared" si="8"/>
        <v>0</v>
      </c>
      <c r="AB26" s="18">
        <f t="shared" si="9"/>
        <v>7.6200666263438199</v>
      </c>
      <c r="AC26" t="s">
        <v>675</v>
      </c>
      <c r="AD26">
        <v>5934</v>
      </c>
      <c r="AE26">
        <v>86868900</v>
      </c>
      <c r="AF26" t="s">
        <v>676</v>
      </c>
      <c r="AG26" t="s">
        <v>677</v>
      </c>
      <c r="AH26" t="s">
        <v>678</v>
      </c>
      <c r="AI26" t="s">
        <v>426</v>
      </c>
      <c r="AJ26" t="s">
        <v>426</v>
      </c>
      <c r="AK26" t="s">
        <v>427</v>
      </c>
      <c r="AL26" t="s">
        <v>475</v>
      </c>
      <c r="AM26" t="s">
        <v>679</v>
      </c>
      <c r="AN26" t="s">
        <v>426</v>
      </c>
      <c r="AO26" t="s">
        <v>490</v>
      </c>
      <c r="AP26" t="s">
        <v>464</v>
      </c>
      <c r="AQ26" t="s">
        <v>680</v>
      </c>
      <c r="AR26" t="s">
        <v>7</v>
      </c>
      <c r="AS26" t="s">
        <v>79</v>
      </c>
      <c r="AT26" t="s">
        <v>79</v>
      </c>
      <c r="AU26" t="s">
        <v>433</v>
      </c>
      <c r="AV26" t="s">
        <v>584</v>
      </c>
      <c r="AW26">
        <v>19884</v>
      </c>
      <c r="AX26" t="s">
        <v>671</v>
      </c>
      <c r="AY26" t="s">
        <v>426</v>
      </c>
      <c r="AZ26" t="s">
        <v>681</v>
      </c>
      <c r="BA26">
        <v>13054340</v>
      </c>
      <c r="BB26" t="s">
        <v>671</v>
      </c>
      <c r="BC26" t="s">
        <v>426</v>
      </c>
      <c r="BD26">
        <v>0</v>
      </c>
      <c r="BE26" t="s">
        <v>437</v>
      </c>
      <c r="BF26" t="s">
        <v>671</v>
      </c>
      <c r="BG26" t="s">
        <v>499</v>
      </c>
      <c r="BH26" t="s">
        <v>439</v>
      </c>
      <c r="BI26" t="s">
        <v>426</v>
      </c>
      <c r="BJ26">
        <v>0</v>
      </c>
      <c r="BK26">
        <v>15340000</v>
      </c>
      <c r="BL26">
        <v>-1450000</v>
      </c>
      <c r="BM26">
        <v>-920400</v>
      </c>
      <c r="BN26">
        <v>12969600</v>
      </c>
      <c r="BO26">
        <v>11854340</v>
      </c>
      <c r="BP26">
        <v>1115260</v>
      </c>
      <c r="BQ26" t="s">
        <v>682</v>
      </c>
      <c r="BR26">
        <v>0</v>
      </c>
      <c r="BS26">
        <v>485138</v>
      </c>
      <c r="BT26">
        <v>485138</v>
      </c>
      <c r="BU26">
        <v>0</v>
      </c>
      <c r="BV26" t="s">
        <v>441</v>
      </c>
      <c r="BW26">
        <v>0</v>
      </c>
      <c r="BX26">
        <v>0</v>
      </c>
      <c r="BY26">
        <v>0</v>
      </c>
      <c r="BZ26">
        <v>0</v>
      </c>
      <c r="CA26" t="s">
        <v>441</v>
      </c>
      <c r="CB26">
        <v>0</v>
      </c>
      <c r="CC26">
        <v>0</v>
      </c>
      <c r="CD26">
        <v>0</v>
      </c>
      <c r="CE26">
        <v>0</v>
      </c>
      <c r="CF26" t="s">
        <v>441</v>
      </c>
      <c r="CG26">
        <v>13890000</v>
      </c>
      <c r="CH26">
        <v>13454738</v>
      </c>
      <c r="CI26">
        <v>12339478</v>
      </c>
      <c r="CJ26">
        <v>1115260</v>
      </c>
      <c r="CK26" t="s">
        <v>623</v>
      </c>
      <c r="CL26">
        <v>1115260</v>
      </c>
      <c r="CM26" t="s">
        <v>623</v>
      </c>
      <c r="CN26">
        <v>0</v>
      </c>
      <c r="CO26">
        <v>0</v>
      </c>
      <c r="CP26">
        <v>15918962</v>
      </c>
      <c r="CQ26">
        <v>0</v>
      </c>
      <c r="CR26">
        <v>485138</v>
      </c>
      <c r="CS26">
        <v>0</v>
      </c>
      <c r="CT26">
        <v>15918962</v>
      </c>
      <c r="CU26">
        <v>13454738</v>
      </c>
      <c r="CV26" s="2">
        <v>1115260</v>
      </c>
      <c r="CW26" t="s">
        <v>623</v>
      </c>
      <c r="CX26" t="s">
        <v>426</v>
      </c>
      <c r="CY26">
        <v>0</v>
      </c>
      <c r="CZ26" t="s">
        <v>426</v>
      </c>
      <c r="DA26">
        <v>0</v>
      </c>
      <c r="DB26">
        <v>1428000</v>
      </c>
      <c r="DC26">
        <v>0</v>
      </c>
      <c r="DD26" t="s">
        <v>426</v>
      </c>
    </row>
    <row r="27" spans="1:108">
      <c r="A27" t="s">
        <v>4</v>
      </c>
      <c r="B27" t="s">
        <v>6</v>
      </c>
      <c r="C27" t="s">
        <v>25</v>
      </c>
      <c r="D27" t="s">
        <v>86</v>
      </c>
      <c r="E27">
        <v>2025</v>
      </c>
      <c r="F27" t="s">
        <v>87</v>
      </c>
      <c r="G27" t="s">
        <v>84</v>
      </c>
      <c r="H27" t="s">
        <v>5</v>
      </c>
      <c r="I27" s="37" t="s">
        <v>1214</v>
      </c>
      <c r="J27" s="37" t="s">
        <v>1219</v>
      </c>
      <c r="K27" s="18">
        <f t="shared" si="0"/>
        <v>16812766</v>
      </c>
      <c r="L27" s="44">
        <v>175000</v>
      </c>
      <c r="M27" s="18">
        <f t="shared" si="1"/>
        <v>921320</v>
      </c>
      <c r="P27" s="18">
        <f t="shared" si="2"/>
        <v>16877496</v>
      </c>
      <c r="Q27" s="18">
        <f t="shared" si="12"/>
        <v>1749999.72</v>
      </c>
      <c r="R27" s="44">
        <v>1470588</v>
      </c>
      <c r="S27" s="18">
        <f t="shared" si="4"/>
        <v>0</v>
      </c>
      <c r="T27" s="42"/>
      <c r="V27" s="18">
        <f t="shared" si="11"/>
        <v>0</v>
      </c>
      <c r="W27" s="18">
        <f t="shared" si="13"/>
        <v>214899.72</v>
      </c>
      <c r="X27" s="44">
        <v>180588</v>
      </c>
      <c r="Y27" s="47">
        <f t="shared" si="7"/>
        <v>619586</v>
      </c>
      <c r="Z27" s="40">
        <f>VLOOKUP(D27,'Archivo con Bonos Ingresados '!V:CB,59,0)</f>
        <v>619586</v>
      </c>
      <c r="AA27" s="18">
        <f t="shared" si="8"/>
        <v>0</v>
      </c>
      <c r="AB27" s="18">
        <f t="shared" si="9"/>
        <v>3.671077747552125</v>
      </c>
      <c r="AC27" t="s">
        <v>422</v>
      </c>
      <c r="AD27">
        <v>5884</v>
      </c>
      <c r="AE27">
        <v>8133978</v>
      </c>
      <c r="AF27" t="s">
        <v>423</v>
      </c>
      <c r="AG27" t="s">
        <v>424</v>
      </c>
      <c r="AH27" t="s">
        <v>425</v>
      </c>
      <c r="AI27" t="s">
        <v>426</v>
      </c>
      <c r="AJ27" t="s">
        <v>426</v>
      </c>
      <c r="AK27" t="s">
        <v>427</v>
      </c>
      <c r="AL27" t="s">
        <v>428</v>
      </c>
      <c r="AM27" t="s">
        <v>429</v>
      </c>
      <c r="AN27" t="s">
        <v>426</v>
      </c>
      <c r="AO27" t="s">
        <v>430</v>
      </c>
      <c r="AP27" t="s">
        <v>431</v>
      </c>
      <c r="AQ27" t="s">
        <v>432</v>
      </c>
      <c r="AR27" t="s">
        <v>85</v>
      </c>
      <c r="AS27" t="s">
        <v>87</v>
      </c>
      <c r="AT27" t="s">
        <v>87</v>
      </c>
      <c r="AU27" t="s">
        <v>433</v>
      </c>
      <c r="AV27" t="s">
        <v>434</v>
      </c>
      <c r="AW27">
        <v>19842</v>
      </c>
      <c r="AX27" t="s">
        <v>435</v>
      </c>
      <c r="AY27" t="s">
        <v>426</v>
      </c>
      <c r="AZ27" t="s">
        <v>436</v>
      </c>
      <c r="BA27">
        <v>16812766</v>
      </c>
      <c r="BB27" t="s">
        <v>435</v>
      </c>
      <c r="BC27" t="s">
        <v>426</v>
      </c>
      <c r="BD27">
        <v>0</v>
      </c>
      <c r="BE27" t="s">
        <v>437</v>
      </c>
      <c r="BF27" t="s">
        <v>435</v>
      </c>
      <c r="BG27" t="s">
        <v>438</v>
      </c>
      <c r="BH27" t="s">
        <v>439</v>
      </c>
      <c r="BI27" t="s">
        <v>426</v>
      </c>
      <c r="BJ27">
        <v>0</v>
      </c>
      <c r="BK27">
        <v>18058824</v>
      </c>
      <c r="BL27">
        <v>-1470588</v>
      </c>
      <c r="BM27">
        <v>-632059</v>
      </c>
      <c r="BN27">
        <v>15956176</v>
      </c>
      <c r="BO27">
        <v>16812766</v>
      </c>
      <c r="BP27">
        <v>-856590</v>
      </c>
      <c r="BQ27" t="s">
        <v>440</v>
      </c>
      <c r="BR27">
        <v>0</v>
      </c>
      <c r="BS27">
        <v>921320</v>
      </c>
      <c r="BT27">
        <v>921320</v>
      </c>
      <c r="BU27">
        <v>0</v>
      </c>
      <c r="BV27" t="s">
        <v>441</v>
      </c>
      <c r="BW27">
        <v>0</v>
      </c>
      <c r="BX27">
        <v>0</v>
      </c>
      <c r="BY27">
        <v>0</v>
      </c>
      <c r="BZ27">
        <v>0</v>
      </c>
      <c r="CA27" t="s">
        <v>441</v>
      </c>
      <c r="CB27">
        <v>0</v>
      </c>
      <c r="CC27">
        <v>0</v>
      </c>
      <c r="CD27">
        <v>0</v>
      </c>
      <c r="CE27">
        <v>0</v>
      </c>
      <c r="CF27" t="s">
        <v>441</v>
      </c>
      <c r="CG27">
        <v>16588236</v>
      </c>
      <c r="CH27">
        <v>16877496</v>
      </c>
      <c r="CI27">
        <v>17734086</v>
      </c>
      <c r="CJ27">
        <v>-856590</v>
      </c>
      <c r="CK27" t="s">
        <v>442</v>
      </c>
      <c r="CL27">
        <v>-856590</v>
      </c>
      <c r="CM27" t="s">
        <v>442</v>
      </c>
      <c r="CN27">
        <v>0</v>
      </c>
      <c r="CO27">
        <v>0</v>
      </c>
      <c r="CP27">
        <v>19909170</v>
      </c>
      <c r="CQ27">
        <v>0</v>
      </c>
      <c r="CR27">
        <v>921320</v>
      </c>
      <c r="CS27">
        <v>0</v>
      </c>
      <c r="CT27">
        <v>19909169</v>
      </c>
      <c r="CU27">
        <v>16877496</v>
      </c>
      <c r="CV27" s="2">
        <v>-856590</v>
      </c>
      <c r="CW27" t="s">
        <v>442</v>
      </c>
      <c r="CX27" t="s">
        <v>426</v>
      </c>
      <c r="CY27">
        <v>0</v>
      </c>
      <c r="CZ27" t="s">
        <v>426</v>
      </c>
      <c r="DA27">
        <v>0</v>
      </c>
      <c r="DB27">
        <v>0</v>
      </c>
      <c r="DC27">
        <v>0</v>
      </c>
      <c r="DD27" t="s">
        <v>426</v>
      </c>
    </row>
    <row r="28" spans="1:108">
      <c r="A28" t="s">
        <v>32</v>
      </c>
      <c r="B28" t="s">
        <v>34</v>
      </c>
      <c r="C28" t="s">
        <v>49</v>
      </c>
      <c r="D28" t="s">
        <v>179</v>
      </c>
      <c r="E28">
        <v>2025</v>
      </c>
      <c r="F28" t="s">
        <v>180</v>
      </c>
      <c r="G28" t="s">
        <v>177</v>
      </c>
      <c r="H28" t="s">
        <v>55</v>
      </c>
      <c r="I28" s="37" t="s">
        <v>1214</v>
      </c>
      <c r="J28" s="37" t="s">
        <v>1217</v>
      </c>
      <c r="K28" s="18">
        <f t="shared" si="0"/>
        <v>23185546</v>
      </c>
      <c r="L28" s="44">
        <v>175000</v>
      </c>
      <c r="M28" s="18">
        <f t="shared" si="1"/>
        <v>1572888</v>
      </c>
      <c r="P28" s="18">
        <f t="shared" si="2"/>
        <v>24637090</v>
      </c>
      <c r="Q28" s="18">
        <v>400000</v>
      </c>
      <c r="R28" s="44">
        <f>Q28/1.19</f>
        <v>336134.45378151262</v>
      </c>
      <c r="S28" s="18">
        <f t="shared" si="4"/>
        <v>0</v>
      </c>
      <c r="U28" s="18">
        <v>1000000</v>
      </c>
      <c r="V28" s="44">
        <f t="shared" si="11"/>
        <v>840336.13445378153</v>
      </c>
      <c r="W28" s="18">
        <f t="shared" si="13"/>
        <v>0</v>
      </c>
      <c r="Y28" s="47">
        <f t="shared" si="7"/>
        <v>880126.58823529421</v>
      </c>
      <c r="Z28" s="40">
        <f>VLOOKUP(D28,'Archivo con Bonos Ingresados '!V:CB,59,0)</f>
        <v>880127</v>
      </c>
      <c r="AA28" s="18">
        <f t="shared" si="8"/>
        <v>0.4117647057864815</v>
      </c>
      <c r="AB28" s="18">
        <f t="shared" si="9"/>
        <v>3.5723642209177067</v>
      </c>
      <c r="AC28" t="s">
        <v>888</v>
      </c>
      <c r="AD28">
        <v>5945</v>
      </c>
      <c r="AE28">
        <v>17958247</v>
      </c>
      <c r="AF28" t="s">
        <v>423</v>
      </c>
      <c r="AG28" t="s">
        <v>889</v>
      </c>
      <c r="AH28" t="s">
        <v>890</v>
      </c>
      <c r="AI28" t="s">
        <v>891</v>
      </c>
      <c r="AJ28" t="s">
        <v>426</v>
      </c>
      <c r="AK28" t="s">
        <v>892</v>
      </c>
      <c r="AL28" t="s">
        <v>893</v>
      </c>
      <c r="AM28" t="s">
        <v>894</v>
      </c>
      <c r="AP28" t="s">
        <v>895</v>
      </c>
      <c r="AQ28" t="s">
        <v>49</v>
      </c>
      <c r="AR28" t="s">
        <v>178</v>
      </c>
      <c r="AS28" t="s">
        <v>180</v>
      </c>
      <c r="AT28" t="s">
        <v>180</v>
      </c>
      <c r="AU28" t="s">
        <v>433</v>
      </c>
      <c r="AV28" t="s">
        <v>584</v>
      </c>
      <c r="AW28">
        <v>19957</v>
      </c>
      <c r="AX28" t="s">
        <v>633</v>
      </c>
      <c r="AY28" t="s">
        <v>426</v>
      </c>
      <c r="AZ28" t="s">
        <v>897</v>
      </c>
      <c r="BA28">
        <v>23185546</v>
      </c>
      <c r="BB28" t="s">
        <v>898</v>
      </c>
      <c r="BD28">
        <v>0</v>
      </c>
      <c r="BE28" t="s">
        <v>565</v>
      </c>
      <c r="BF28" t="s">
        <v>898</v>
      </c>
      <c r="BG28" t="s">
        <v>438</v>
      </c>
      <c r="BH28" t="s">
        <v>439</v>
      </c>
      <c r="BI28" t="s">
        <v>899</v>
      </c>
      <c r="BJ28">
        <v>158</v>
      </c>
      <c r="BK28">
        <v>25201681</v>
      </c>
      <c r="BL28">
        <v>-1176471</v>
      </c>
      <c r="BM28">
        <v>-961008</v>
      </c>
      <c r="BN28">
        <v>23064202</v>
      </c>
      <c r="BO28">
        <v>23185546</v>
      </c>
      <c r="BP28">
        <v>-121344</v>
      </c>
      <c r="BQ28" t="s">
        <v>900</v>
      </c>
      <c r="BR28">
        <v>0</v>
      </c>
      <c r="BS28">
        <v>1572888</v>
      </c>
      <c r="BT28">
        <v>1572888</v>
      </c>
      <c r="BU28">
        <v>0</v>
      </c>
      <c r="BV28" t="s">
        <v>441</v>
      </c>
      <c r="BW28">
        <v>0</v>
      </c>
      <c r="BX28">
        <v>0</v>
      </c>
      <c r="BY28">
        <v>0</v>
      </c>
      <c r="BZ28">
        <v>0</v>
      </c>
      <c r="CA28" t="s">
        <v>441</v>
      </c>
      <c r="CB28">
        <v>0</v>
      </c>
      <c r="CC28">
        <v>0</v>
      </c>
      <c r="CD28">
        <v>0</v>
      </c>
      <c r="CE28">
        <v>0</v>
      </c>
      <c r="CF28" t="s">
        <v>441</v>
      </c>
      <c r="CG28">
        <v>24025210</v>
      </c>
      <c r="CH28">
        <v>24637090</v>
      </c>
      <c r="CI28">
        <v>24758434</v>
      </c>
      <c r="CJ28">
        <v>-121344</v>
      </c>
      <c r="CK28" t="s">
        <v>901</v>
      </c>
      <c r="CL28">
        <v>-121344</v>
      </c>
      <c r="CM28" t="s">
        <v>901</v>
      </c>
      <c r="CN28">
        <v>0</v>
      </c>
      <c r="CO28">
        <v>6700000</v>
      </c>
      <c r="CP28">
        <v>24798063</v>
      </c>
      <c r="CQ28">
        <v>-2478775</v>
      </c>
      <c r="CR28">
        <v>1572888</v>
      </c>
      <c r="CS28">
        <v>0</v>
      </c>
      <c r="CT28">
        <v>29019288</v>
      </c>
      <c r="CU28">
        <v>24637090</v>
      </c>
      <c r="CV28" s="2">
        <v>-121344</v>
      </c>
      <c r="CW28" t="s">
        <v>901</v>
      </c>
      <c r="CX28" t="s">
        <v>426</v>
      </c>
      <c r="CY28">
        <v>0</v>
      </c>
      <c r="CZ28" t="s">
        <v>426</v>
      </c>
      <c r="DA28">
        <v>0</v>
      </c>
      <c r="DB28">
        <v>0</v>
      </c>
      <c r="DC28">
        <v>0</v>
      </c>
      <c r="DD28" t="s">
        <v>426</v>
      </c>
    </row>
    <row r="29" spans="1:108">
      <c r="A29" t="s">
        <v>4</v>
      </c>
      <c r="B29" t="s">
        <v>6</v>
      </c>
      <c r="C29" t="s">
        <v>9</v>
      </c>
      <c r="D29" t="s">
        <v>121</v>
      </c>
      <c r="E29">
        <v>2025</v>
      </c>
      <c r="F29" t="s">
        <v>122</v>
      </c>
      <c r="G29" t="s">
        <v>120</v>
      </c>
      <c r="H29" t="s">
        <v>8</v>
      </c>
      <c r="I29" s="39" t="s">
        <v>1214</v>
      </c>
      <c r="J29" s="37" t="s">
        <v>1221</v>
      </c>
      <c r="K29" s="18">
        <f t="shared" si="0"/>
        <v>12358360</v>
      </c>
      <c r="L29" s="44">
        <v>90000</v>
      </c>
      <c r="M29" s="18">
        <f t="shared" si="1"/>
        <v>338823</v>
      </c>
      <c r="P29" s="18">
        <f t="shared" si="2"/>
        <v>11431260</v>
      </c>
      <c r="Q29" s="42">
        <f>R29*1.19</f>
        <v>1963500</v>
      </c>
      <c r="R29" s="45">
        <v>1650000</v>
      </c>
      <c r="S29" s="18">
        <f t="shared" si="4"/>
        <v>651999.80999999994</v>
      </c>
      <c r="T29" s="44">
        <v>547899</v>
      </c>
      <c r="U29" s="18">
        <v>150000</v>
      </c>
      <c r="V29" s="44">
        <f t="shared" si="11"/>
        <v>126050.42016806723</v>
      </c>
      <c r="W29" s="18">
        <f t="shared" si="13"/>
        <v>0</v>
      </c>
      <c r="Y29" s="47">
        <f t="shared" si="7"/>
        <v>968026.42016806721</v>
      </c>
      <c r="Z29" s="40">
        <f>VLOOKUP(D29,'Archivo con Bonos Ingresados '!V:CB,59,0)</f>
        <v>968026</v>
      </c>
      <c r="AA29" s="18">
        <f t="shared" si="8"/>
        <v>-0.42016806721221656</v>
      </c>
      <c r="AB29" s="18">
        <f t="shared" si="9"/>
        <v>8.4682390232403701</v>
      </c>
      <c r="AC29" t="s">
        <v>556</v>
      </c>
      <c r="AD29">
        <v>5906</v>
      </c>
      <c r="AE29">
        <v>76096975</v>
      </c>
      <c r="AF29" t="s">
        <v>423</v>
      </c>
      <c r="AG29" t="s">
        <v>557</v>
      </c>
      <c r="AH29" t="s">
        <v>426</v>
      </c>
      <c r="AI29" t="s">
        <v>558</v>
      </c>
      <c r="AJ29" t="s">
        <v>426</v>
      </c>
      <c r="AK29" t="s">
        <v>559</v>
      </c>
      <c r="AL29" t="s">
        <v>475</v>
      </c>
      <c r="AM29" t="s">
        <v>560</v>
      </c>
      <c r="AN29" t="s">
        <v>426</v>
      </c>
      <c r="AO29" t="s">
        <v>490</v>
      </c>
      <c r="AP29" t="s">
        <v>491</v>
      </c>
      <c r="AQ29" t="s">
        <v>561</v>
      </c>
      <c r="AR29" t="s">
        <v>16</v>
      </c>
      <c r="AS29" t="s">
        <v>122</v>
      </c>
      <c r="AT29" t="s">
        <v>122</v>
      </c>
      <c r="AU29" t="s">
        <v>433</v>
      </c>
      <c r="AV29" t="s">
        <v>434</v>
      </c>
      <c r="AW29">
        <v>19895</v>
      </c>
      <c r="AX29" t="s">
        <v>562</v>
      </c>
      <c r="AY29" t="s">
        <v>426</v>
      </c>
      <c r="AZ29" t="s">
        <v>563</v>
      </c>
      <c r="BA29">
        <v>12358360</v>
      </c>
      <c r="BB29" t="s">
        <v>564</v>
      </c>
      <c r="BC29" t="s">
        <v>426</v>
      </c>
      <c r="BD29">
        <v>0</v>
      </c>
      <c r="BE29" t="s">
        <v>565</v>
      </c>
      <c r="BF29" t="s">
        <v>564</v>
      </c>
      <c r="BG29" t="s">
        <v>566</v>
      </c>
      <c r="BH29" t="s">
        <v>439</v>
      </c>
      <c r="BI29" t="s">
        <v>426</v>
      </c>
      <c r="BJ29">
        <v>0</v>
      </c>
      <c r="BK29">
        <v>0</v>
      </c>
      <c r="BL29">
        <v>-2450000</v>
      </c>
      <c r="BM29">
        <v>-597563</v>
      </c>
      <c r="BN29">
        <v>11092437</v>
      </c>
      <c r="BO29">
        <v>10708360</v>
      </c>
      <c r="BP29">
        <v>384077</v>
      </c>
      <c r="BQ29" t="s">
        <v>567</v>
      </c>
      <c r="BR29">
        <v>0</v>
      </c>
      <c r="BS29">
        <v>338823</v>
      </c>
      <c r="BT29">
        <v>338823</v>
      </c>
      <c r="BU29">
        <v>0</v>
      </c>
      <c r="BV29" t="s">
        <v>441</v>
      </c>
      <c r="BW29">
        <v>0</v>
      </c>
      <c r="BX29">
        <v>0</v>
      </c>
      <c r="BY29">
        <v>0</v>
      </c>
      <c r="BZ29">
        <v>0</v>
      </c>
      <c r="CA29" t="s">
        <v>441</v>
      </c>
      <c r="CB29">
        <v>0</v>
      </c>
      <c r="CC29">
        <v>0</v>
      </c>
      <c r="CD29">
        <v>0</v>
      </c>
      <c r="CE29">
        <v>0</v>
      </c>
      <c r="CF29" t="s">
        <v>441</v>
      </c>
      <c r="CG29">
        <v>-2450000</v>
      </c>
      <c r="CH29">
        <v>11431260</v>
      </c>
      <c r="CI29">
        <v>11047183</v>
      </c>
      <c r="CJ29">
        <v>384077</v>
      </c>
      <c r="CK29" t="s">
        <v>568</v>
      </c>
      <c r="CL29">
        <v>384077</v>
      </c>
      <c r="CM29" t="s">
        <v>568</v>
      </c>
      <c r="CN29">
        <v>0</v>
      </c>
      <c r="CO29">
        <v>0</v>
      </c>
      <c r="CP29">
        <v>13538823</v>
      </c>
      <c r="CQ29">
        <v>0</v>
      </c>
      <c r="CR29">
        <v>338823</v>
      </c>
      <c r="CS29">
        <v>0</v>
      </c>
      <c r="CT29">
        <v>13538823</v>
      </c>
      <c r="CU29">
        <v>11431260</v>
      </c>
      <c r="CV29" s="2">
        <v>384077</v>
      </c>
      <c r="CW29" t="s">
        <v>568</v>
      </c>
      <c r="CX29" t="s">
        <v>426</v>
      </c>
      <c r="CY29">
        <v>0</v>
      </c>
      <c r="CZ29" t="s">
        <v>426</v>
      </c>
      <c r="DA29">
        <v>0</v>
      </c>
      <c r="DB29">
        <v>1963500</v>
      </c>
      <c r="DC29">
        <v>0</v>
      </c>
      <c r="DD29" t="s">
        <v>426</v>
      </c>
    </row>
    <row r="30" spans="1:108">
      <c r="A30" t="s">
        <v>4</v>
      </c>
      <c r="B30" t="s">
        <v>6</v>
      </c>
      <c r="C30" t="s">
        <v>29</v>
      </c>
      <c r="D30" t="s">
        <v>130</v>
      </c>
      <c r="E30">
        <v>2024</v>
      </c>
      <c r="F30" t="s">
        <v>131</v>
      </c>
      <c r="G30" t="s">
        <v>129</v>
      </c>
      <c r="H30" t="s">
        <v>8</v>
      </c>
      <c r="I30" s="37" t="s">
        <v>1215</v>
      </c>
      <c r="J30" s="37" t="s">
        <v>1219</v>
      </c>
      <c r="K30" s="18">
        <f t="shared" si="0"/>
        <v>15695160</v>
      </c>
      <c r="L30" s="44">
        <v>145000</v>
      </c>
      <c r="M30" s="18">
        <f t="shared" si="1"/>
        <v>491389</v>
      </c>
      <c r="P30" s="18">
        <f t="shared" si="2"/>
        <v>13928364</v>
      </c>
      <c r="Q30" s="18">
        <f>R30*1.19</f>
        <v>4673400.13</v>
      </c>
      <c r="R30" s="44">
        <v>3927227</v>
      </c>
      <c r="S30" s="18">
        <f t="shared" si="4"/>
        <v>0</v>
      </c>
      <c r="V30" s="18">
        <f t="shared" si="11"/>
        <v>0</v>
      </c>
      <c r="W30" s="18">
        <f t="shared" si="13"/>
        <v>0</v>
      </c>
      <c r="Y30" s="18">
        <f t="shared" si="7"/>
        <v>1524042</v>
      </c>
      <c r="Z30" s="40">
        <f>VLOOKUP(D30,'Archivo con Bonos Ingresados '!V:CB,59,0)</f>
        <v>1524042</v>
      </c>
      <c r="AA30" s="18">
        <f t="shared" si="8"/>
        <v>0</v>
      </c>
      <c r="AB30" s="18">
        <f t="shared" si="9"/>
        <v>10.942002951674727</v>
      </c>
      <c r="AC30" t="s">
        <v>591</v>
      </c>
      <c r="AD30">
        <v>5914</v>
      </c>
      <c r="AE30">
        <v>8966208</v>
      </c>
      <c r="AF30" t="s">
        <v>592</v>
      </c>
      <c r="AG30" t="s">
        <v>593</v>
      </c>
      <c r="AH30" t="s">
        <v>426</v>
      </c>
      <c r="AI30" t="s">
        <v>594</v>
      </c>
      <c r="AJ30" t="s">
        <v>426</v>
      </c>
      <c r="AK30" t="s">
        <v>488</v>
      </c>
      <c r="AL30" t="s">
        <v>475</v>
      </c>
      <c r="AM30" t="s">
        <v>595</v>
      </c>
      <c r="AN30" t="s">
        <v>426</v>
      </c>
      <c r="AO30" t="s">
        <v>430</v>
      </c>
      <c r="AP30" t="s">
        <v>464</v>
      </c>
      <c r="AQ30" t="s">
        <v>596</v>
      </c>
      <c r="AR30" t="s">
        <v>7</v>
      </c>
      <c r="AS30" t="s">
        <v>131</v>
      </c>
      <c r="AT30" t="s">
        <v>131</v>
      </c>
      <c r="AU30" t="s">
        <v>433</v>
      </c>
      <c r="AV30" t="s">
        <v>434</v>
      </c>
      <c r="AW30">
        <v>19860</v>
      </c>
      <c r="AX30" t="s">
        <v>493</v>
      </c>
      <c r="AY30" t="s">
        <v>426</v>
      </c>
      <c r="AZ30" t="s">
        <v>597</v>
      </c>
      <c r="BA30">
        <v>15695160</v>
      </c>
      <c r="BB30" t="s">
        <v>493</v>
      </c>
      <c r="BC30" t="s">
        <v>426</v>
      </c>
      <c r="BD30">
        <v>0</v>
      </c>
      <c r="BE30" t="s">
        <v>437</v>
      </c>
      <c r="BF30" t="s">
        <v>493</v>
      </c>
      <c r="BG30" t="s">
        <v>481</v>
      </c>
      <c r="BH30" t="s">
        <v>439</v>
      </c>
      <c r="BI30" t="s">
        <v>426</v>
      </c>
      <c r="BJ30">
        <v>0</v>
      </c>
      <c r="BK30">
        <v>17134454</v>
      </c>
      <c r="BL30">
        <v>-3697479</v>
      </c>
      <c r="BM30">
        <v>0</v>
      </c>
      <c r="BN30">
        <v>13436975</v>
      </c>
      <c r="BO30">
        <v>15695160</v>
      </c>
      <c r="BP30">
        <v>-2258185</v>
      </c>
      <c r="BQ30" t="s">
        <v>598</v>
      </c>
      <c r="BR30">
        <v>0</v>
      </c>
      <c r="BS30">
        <v>491389</v>
      </c>
      <c r="BT30">
        <v>491389</v>
      </c>
      <c r="BU30">
        <v>0</v>
      </c>
      <c r="BV30" t="s">
        <v>441</v>
      </c>
      <c r="BW30">
        <v>0</v>
      </c>
      <c r="BX30">
        <v>0</v>
      </c>
      <c r="BY30">
        <v>0</v>
      </c>
      <c r="BZ30">
        <v>0</v>
      </c>
      <c r="CA30" t="s">
        <v>441</v>
      </c>
      <c r="CB30">
        <v>0</v>
      </c>
      <c r="CC30">
        <v>0</v>
      </c>
      <c r="CD30">
        <v>0</v>
      </c>
      <c r="CE30">
        <v>0</v>
      </c>
      <c r="CF30" t="s">
        <v>441</v>
      </c>
      <c r="CG30">
        <v>13436975</v>
      </c>
      <c r="CH30">
        <v>13928364</v>
      </c>
      <c r="CI30">
        <v>16186549</v>
      </c>
      <c r="CJ30">
        <v>-2258185</v>
      </c>
      <c r="CK30" t="s">
        <v>599</v>
      </c>
      <c r="CL30">
        <v>-2258185</v>
      </c>
      <c r="CM30" t="s">
        <v>599</v>
      </c>
      <c r="CN30">
        <v>0</v>
      </c>
      <c r="CO30">
        <v>0</v>
      </c>
      <c r="CP30">
        <v>16481389</v>
      </c>
      <c r="CQ30">
        <v>0</v>
      </c>
      <c r="CR30">
        <v>491389</v>
      </c>
      <c r="CS30">
        <v>0</v>
      </c>
      <c r="CT30">
        <v>16481389</v>
      </c>
      <c r="CU30">
        <v>13928364</v>
      </c>
      <c r="CV30" s="2">
        <v>-2258185</v>
      </c>
      <c r="CW30" t="s">
        <v>599</v>
      </c>
      <c r="CX30" t="s">
        <v>426</v>
      </c>
      <c r="CY30">
        <v>0</v>
      </c>
      <c r="CZ30" t="s">
        <v>426</v>
      </c>
      <c r="DA30">
        <v>0</v>
      </c>
      <c r="DB30">
        <v>0</v>
      </c>
      <c r="DC30">
        <v>0</v>
      </c>
      <c r="DD30" t="s">
        <v>426</v>
      </c>
    </row>
    <row r="31" spans="1:108">
      <c r="A31" t="s">
        <v>4</v>
      </c>
      <c r="B31" t="s">
        <v>6</v>
      </c>
      <c r="C31" t="s">
        <v>19</v>
      </c>
      <c r="D31" t="s">
        <v>113</v>
      </c>
      <c r="E31">
        <v>2024</v>
      </c>
      <c r="F31" t="s">
        <v>114</v>
      </c>
      <c r="G31" t="s">
        <v>112</v>
      </c>
      <c r="H31" t="s">
        <v>30</v>
      </c>
      <c r="I31" s="37" t="s">
        <v>1215</v>
      </c>
      <c r="J31" s="37" t="s">
        <v>1219</v>
      </c>
      <c r="K31" s="18">
        <f t="shared" si="0"/>
        <v>14537722</v>
      </c>
      <c r="L31" s="44">
        <v>90000</v>
      </c>
      <c r="M31" s="18">
        <f t="shared" si="1"/>
        <v>489290</v>
      </c>
      <c r="P31" s="18">
        <f t="shared" si="2"/>
        <v>13523500</v>
      </c>
      <c r="Q31" s="18">
        <f>R31*1.19</f>
        <v>2239400.31</v>
      </c>
      <c r="R31" s="44">
        <v>1881849</v>
      </c>
      <c r="S31" s="18">
        <f t="shared" si="4"/>
        <v>0</v>
      </c>
      <c r="V31" s="18">
        <f t="shared" si="11"/>
        <v>0</v>
      </c>
      <c r="W31" s="18">
        <f t="shared" si="13"/>
        <v>0</v>
      </c>
      <c r="Y31" s="18">
        <f t="shared" si="7"/>
        <v>288337</v>
      </c>
      <c r="Z31" s="40">
        <f>VLOOKUP(D31,'Archivo con Bonos Ingresados '!V:CB,59,0)</f>
        <v>288337</v>
      </c>
      <c r="AA31" s="18">
        <f t="shared" si="8"/>
        <v>0</v>
      </c>
      <c r="AB31" s="18">
        <f t="shared" si="9"/>
        <v>2.1321181646763043</v>
      </c>
      <c r="AC31" t="s">
        <v>525</v>
      </c>
      <c r="AD31">
        <v>5899</v>
      </c>
      <c r="AE31">
        <v>20465426</v>
      </c>
      <c r="AF31" t="s">
        <v>423</v>
      </c>
      <c r="AG31" t="s">
        <v>526</v>
      </c>
      <c r="AH31" t="s">
        <v>527</v>
      </c>
      <c r="AI31" t="s">
        <v>527</v>
      </c>
      <c r="AJ31" t="s">
        <v>426</v>
      </c>
      <c r="AK31" t="s">
        <v>528</v>
      </c>
      <c r="AL31" t="s">
        <v>529</v>
      </c>
      <c r="AM31" t="s">
        <v>530</v>
      </c>
      <c r="AN31" t="s">
        <v>426</v>
      </c>
      <c r="AO31" t="s">
        <v>509</v>
      </c>
      <c r="AP31" t="s">
        <v>510</v>
      </c>
      <c r="AQ31" t="s">
        <v>531</v>
      </c>
      <c r="AR31" t="s">
        <v>11</v>
      </c>
      <c r="AS31" t="s">
        <v>114</v>
      </c>
      <c r="AT31" t="s">
        <v>114</v>
      </c>
      <c r="AU31" t="s">
        <v>433</v>
      </c>
      <c r="AV31" t="s">
        <v>434</v>
      </c>
      <c r="AW31">
        <v>19853</v>
      </c>
      <c r="AX31" t="s">
        <v>520</v>
      </c>
      <c r="AY31" t="s">
        <v>426</v>
      </c>
      <c r="AZ31" t="s">
        <v>532</v>
      </c>
      <c r="BA31">
        <v>14537722</v>
      </c>
      <c r="BB31" t="s">
        <v>520</v>
      </c>
      <c r="BC31" t="s">
        <v>426</v>
      </c>
      <c r="BD31">
        <v>0</v>
      </c>
      <c r="BE31" t="s">
        <v>533</v>
      </c>
      <c r="BF31" t="s">
        <v>520</v>
      </c>
      <c r="BG31" t="s">
        <v>438</v>
      </c>
      <c r="BH31" t="s">
        <v>439</v>
      </c>
      <c r="BI31" t="s">
        <v>426</v>
      </c>
      <c r="BJ31">
        <v>224</v>
      </c>
      <c r="BK31">
        <v>15957983</v>
      </c>
      <c r="BL31">
        <v>-2923773</v>
      </c>
      <c r="BM31">
        <v>0</v>
      </c>
      <c r="BN31">
        <v>13034210</v>
      </c>
      <c r="BO31">
        <v>14537722</v>
      </c>
      <c r="BP31">
        <v>-1503512</v>
      </c>
      <c r="BQ31" t="s">
        <v>534</v>
      </c>
      <c r="BR31">
        <v>0</v>
      </c>
      <c r="BS31">
        <v>489290</v>
      </c>
      <c r="BT31">
        <v>489290</v>
      </c>
      <c r="BU31">
        <v>0</v>
      </c>
      <c r="BV31" t="s">
        <v>441</v>
      </c>
      <c r="BW31">
        <v>0</v>
      </c>
      <c r="BX31">
        <v>0</v>
      </c>
      <c r="BY31">
        <v>0</v>
      </c>
      <c r="BZ31">
        <v>0</v>
      </c>
      <c r="CA31" t="s">
        <v>441</v>
      </c>
      <c r="CB31">
        <v>0</v>
      </c>
      <c r="CC31">
        <v>0</v>
      </c>
      <c r="CD31">
        <v>0</v>
      </c>
      <c r="CE31">
        <v>0</v>
      </c>
      <c r="CF31" t="s">
        <v>441</v>
      </c>
      <c r="CG31">
        <v>13034210</v>
      </c>
      <c r="CH31">
        <v>13523500</v>
      </c>
      <c r="CI31">
        <v>15027012</v>
      </c>
      <c r="CJ31">
        <v>-1503512</v>
      </c>
      <c r="CK31" t="s">
        <v>535</v>
      </c>
      <c r="CL31">
        <v>-1503512</v>
      </c>
      <c r="CM31" t="s">
        <v>535</v>
      </c>
      <c r="CN31">
        <v>0</v>
      </c>
      <c r="CO31">
        <v>0</v>
      </c>
      <c r="CP31">
        <v>16000000</v>
      </c>
      <c r="CQ31">
        <v>0</v>
      </c>
      <c r="CR31">
        <v>489290</v>
      </c>
      <c r="CS31">
        <v>0</v>
      </c>
      <c r="CT31">
        <v>16000000</v>
      </c>
      <c r="CU31">
        <v>13523500</v>
      </c>
      <c r="CV31" s="2">
        <v>-1503512</v>
      </c>
      <c r="CW31" t="s">
        <v>535</v>
      </c>
      <c r="CX31" t="s">
        <v>426</v>
      </c>
      <c r="CY31">
        <v>0</v>
      </c>
      <c r="CZ31" t="s">
        <v>426</v>
      </c>
      <c r="DA31">
        <v>0</v>
      </c>
      <c r="DB31">
        <v>0</v>
      </c>
      <c r="DC31">
        <v>0</v>
      </c>
      <c r="DD31" t="s">
        <v>426</v>
      </c>
    </row>
    <row r="32" spans="1:108">
      <c r="A32" t="s">
        <v>32</v>
      </c>
      <c r="B32" t="s">
        <v>34</v>
      </c>
      <c r="C32" t="s">
        <v>49</v>
      </c>
      <c r="D32" t="s">
        <v>216</v>
      </c>
      <c r="E32">
        <v>2025</v>
      </c>
      <c r="F32" t="s">
        <v>217</v>
      </c>
      <c r="G32" t="s">
        <v>215</v>
      </c>
      <c r="H32" t="s">
        <v>55</v>
      </c>
      <c r="I32" s="37" t="s">
        <v>1214</v>
      </c>
      <c r="J32" s="37" t="s">
        <v>1217</v>
      </c>
      <c r="K32" s="18">
        <f t="shared" si="0"/>
        <v>23185546</v>
      </c>
      <c r="L32" s="44">
        <v>175000</v>
      </c>
      <c r="M32" s="18">
        <f t="shared" si="1"/>
        <v>1460222</v>
      </c>
      <c r="P32" s="18">
        <f t="shared" si="2"/>
        <v>23717701</v>
      </c>
      <c r="Q32" s="18">
        <v>400000</v>
      </c>
      <c r="R32" s="44">
        <f>Q32/1.19</f>
        <v>336134.45378151262</v>
      </c>
      <c r="S32" s="18">
        <f t="shared" si="4"/>
        <v>0</v>
      </c>
      <c r="U32" s="18">
        <v>2000000</v>
      </c>
      <c r="V32" s="44">
        <f t="shared" si="11"/>
        <v>1680672.2689075631</v>
      </c>
      <c r="W32" s="18">
        <f t="shared" si="13"/>
        <v>0</v>
      </c>
      <c r="Y32" s="47">
        <f t="shared" si="7"/>
        <v>913739.72268907563</v>
      </c>
      <c r="Z32" s="40">
        <f>VLOOKUP(D32,'Archivo con Bonos Ingresados '!V:CB,59,0)</f>
        <v>913740</v>
      </c>
      <c r="AA32" s="18">
        <f t="shared" si="8"/>
        <v>0.27731092437170446</v>
      </c>
      <c r="AB32" s="18">
        <f t="shared" si="9"/>
        <v>3.8525644736354323</v>
      </c>
      <c r="AC32" t="s">
        <v>920</v>
      </c>
      <c r="AD32">
        <v>5970</v>
      </c>
      <c r="AE32">
        <v>15959880</v>
      </c>
      <c r="AF32" t="s">
        <v>921</v>
      </c>
      <c r="AG32" t="s">
        <v>922</v>
      </c>
      <c r="AH32" t="s">
        <v>923</v>
      </c>
      <c r="AI32" t="s">
        <v>924</v>
      </c>
      <c r="AJ32" t="s">
        <v>426</v>
      </c>
      <c r="AK32" t="s">
        <v>488</v>
      </c>
      <c r="AL32" t="s">
        <v>925</v>
      </c>
      <c r="AM32" t="s">
        <v>926</v>
      </c>
      <c r="AP32" t="s">
        <v>895</v>
      </c>
      <c r="AQ32" t="s">
        <v>49</v>
      </c>
      <c r="AR32" t="s">
        <v>178</v>
      </c>
      <c r="AS32" t="s">
        <v>217</v>
      </c>
      <c r="AT32" t="s">
        <v>217</v>
      </c>
      <c r="AU32" t="s">
        <v>433</v>
      </c>
      <c r="AV32" t="s">
        <v>584</v>
      </c>
      <c r="AW32">
        <v>19958</v>
      </c>
      <c r="AX32" t="s">
        <v>633</v>
      </c>
      <c r="AY32" t="s">
        <v>426</v>
      </c>
      <c r="AZ32" t="s">
        <v>927</v>
      </c>
      <c r="BA32">
        <v>23185546</v>
      </c>
      <c r="BB32" t="s">
        <v>898</v>
      </c>
      <c r="BD32">
        <v>0</v>
      </c>
      <c r="BE32" t="s">
        <v>565</v>
      </c>
      <c r="BF32" t="s">
        <v>898</v>
      </c>
      <c r="BG32" t="s">
        <v>438</v>
      </c>
      <c r="BH32" t="s">
        <v>439</v>
      </c>
      <c r="BI32" t="s">
        <v>928</v>
      </c>
      <c r="BJ32">
        <v>9</v>
      </c>
      <c r="BK32">
        <v>25201681</v>
      </c>
      <c r="BL32">
        <v>-2016807</v>
      </c>
      <c r="BM32">
        <v>-927395</v>
      </c>
      <c r="BN32">
        <v>22257479</v>
      </c>
      <c r="BO32">
        <v>23185546</v>
      </c>
      <c r="BP32">
        <v>-928067</v>
      </c>
      <c r="BQ32" t="s">
        <v>929</v>
      </c>
      <c r="BR32">
        <v>0</v>
      </c>
      <c r="BS32">
        <v>1460222</v>
      </c>
      <c r="BT32">
        <v>1460222</v>
      </c>
      <c r="BU32">
        <v>0</v>
      </c>
      <c r="BV32" t="s">
        <v>441</v>
      </c>
      <c r="BW32">
        <v>0</v>
      </c>
      <c r="BX32">
        <v>0</v>
      </c>
      <c r="BY32">
        <v>0</v>
      </c>
      <c r="BZ32">
        <v>0</v>
      </c>
      <c r="CA32" t="s">
        <v>441</v>
      </c>
      <c r="CB32">
        <v>0</v>
      </c>
      <c r="CC32">
        <v>0</v>
      </c>
      <c r="CD32">
        <v>0</v>
      </c>
      <c r="CE32">
        <v>0</v>
      </c>
      <c r="CF32" t="s">
        <v>441</v>
      </c>
      <c r="CG32">
        <v>23184874</v>
      </c>
      <c r="CH32">
        <v>23717701</v>
      </c>
      <c r="CI32">
        <v>24645768</v>
      </c>
      <c r="CJ32">
        <v>-928067</v>
      </c>
      <c r="CK32" t="s">
        <v>674</v>
      </c>
      <c r="CL32">
        <v>-928067</v>
      </c>
      <c r="CM32" t="s">
        <v>674</v>
      </c>
      <c r="CN32">
        <v>0</v>
      </c>
      <c r="CO32">
        <v>22500000</v>
      </c>
      <c r="CP32">
        <v>13268630</v>
      </c>
      <c r="CQ32">
        <v>-7822008</v>
      </c>
      <c r="CR32">
        <v>1460222</v>
      </c>
      <c r="CS32">
        <v>0</v>
      </c>
      <c r="CT32">
        <v>27946622</v>
      </c>
      <c r="CU32">
        <v>23717701</v>
      </c>
      <c r="CV32" s="2">
        <v>-928067</v>
      </c>
      <c r="CW32" t="s">
        <v>674</v>
      </c>
      <c r="CX32" t="s">
        <v>426</v>
      </c>
      <c r="CY32">
        <v>0</v>
      </c>
      <c r="CZ32" t="s">
        <v>426</v>
      </c>
      <c r="DA32">
        <v>0</v>
      </c>
      <c r="DB32">
        <v>0</v>
      </c>
      <c r="DC32">
        <v>0</v>
      </c>
      <c r="DD32" t="s">
        <v>426</v>
      </c>
    </row>
    <row r="33" spans="1:108">
      <c r="A33" t="s">
        <v>4</v>
      </c>
      <c r="B33" t="s">
        <v>6</v>
      </c>
      <c r="C33" t="s">
        <v>25</v>
      </c>
      <c r="D33" t="s">
        <v>142</v>
      </c>
      <c r="E33">
        <v>2025</v>
      </c>
      <c r="F33" t="s">
        <v>143</v>
      </c>
      <c r="G33" t="s">
        <v>141</v>
      </c>
      <c r="H33" t="s">
        <v>8</v>
      </c>
      <c r="I33" s="37" t="s">
        <v>1214</v>
      </c>
      <c r="J33" s="37" t="s">
        <v>1220</v>
      </c>
      <c r="K33" s="18">
        <f t="shared" si="0"/>
        <v>16812766</v>
      </c>
      <c r="L33" s="44">
        <v>175000</v>
      </c>
      <c r="M33" s="18">
        <f t="shared" si="1"/>
        <v>764231</v>
      </c>
      <c r="P33" s="18">
        <f t="shared" si="2"/>
        <v>15428097</v>
      </c>
      <c r="Q33" s="18">
        <f t="shared" ref="Q33:Q48" si="14">R33*1.19</f>
        <v>1749999.72</v>
      </c>
      <c r="R33" s="44">
        <v>1470588</v>
      </c>
      <c r="S33" s="18">
        <f t="shared" si="4"/>
        <v>1249999.8</v>
      </c>
      <c r="T33" s="44">
        <v>1050420</v>
      </c>
      <c r="U33" s="18">
        <v>150000</v>
      </c>
      <c r="V33" s="44">
        <f t="shared" si="11"/>
        <v>126050.42016806723</v>
      </c>
      <c r="W33" s="18">
        <f t="shared" si="13"/>
        <v>214899.72</v>
      </c>
      <c r="X33" s="44">
        <v>180588</v>
      </c>
      <c r="Y33" s="47">
        <f t="shared" si="7"/>
        <v>503746.42016806721</v>
      </c>
      <c r="Z33" s="40">
        <f>VLOOKUP(D33,'Archivo con Bonos Ingresados '!V:CB,59,0)</f>
        <v>503746</v>
      </c>
      <c r="AA33" s="18">
        <f t="shared" si="8"/>
        <v>-0.42016806721221656</v>
      </c>
      <c r="AB33" s="18">
        <f t="shared" si="9"/>
        <v>3.265123496229426</v>
      </c>
      <c r="AC33" t="s">
        <v>656</v>
      </c>
      <c r="AD33">
        <v>5927</v>
      </c>
      <c r="AE33">
        <v>8669391</v>
      </c>
      <c r="AF33" t="s">
        <v>592</v>
      </c>
      <c r="AG33" t="s">
        <v>657</v>
      </c>
      <c r="AH33" t="s">
        <v>426</v>
      </c>
      <c r="AI33" t="s">
        <v>658</v>
      </c>
      <c r="AJ33" t="s">
        <v>426</v>
      </c>
      <c r="AK33" t="s">
        <v>659</v>
      </c>
      <c r="AL33" t="s">
        <v>475</v>
      </c>
      <c r="AM33" t="s">
        <v>660</v>
      </c>
      <c r="AN33" t="s">
        <v>426</v>
      </c>
      <c r="AO33" t="s">
        <v>430</v>
      </c>
      <c r="AP33" t="s">
        <v>431</v>
      </c>
      <c r="AQ33" t="s">
        <v>432</v>
      </c>
      <c r="AR33" t="s">
        <v>22</v>
      </c>
      <c r="AS33" t="s">
        <v>143</v>
      </c>
      <c r="AT33" t="s">
        <v>143</v>
      </c>
      <c r="AU33" t="s">
        <v>433</v>
      </c>
      <c r="AV33" t="s">
        <v>434</v>
      </c>
      <c r="AW33">
        <v>19879</v>
      </c>
      <c r="AX33" t="s">
        <v>661</v>
      </c>
      <c r="AY33" t="s">
        <v>426</v>
      </c>
      <c r="AZ33" t="s">
        <v>662</v>
      </c>
      <c r="BA33">
        <v>16812766</v>
      </c>
      <c r="BB33" t="s">
        <v>663</v>
      </c>
      <c r="BC33" t="s">
        <v>426</v>
      </c>
      <c r="BD33">
        <v>0</v>
      </c>
      <c r="BE33" t="s">
        <v>565</v>
      </c>
      <c r="BF33" t="s">
        <v>663</v>
      </c>
      <c r="BG33" t="s">
        <v>566</v>
      </c>
      <c r="BH33" t="s">
        <v>439</v>
      </c>
      <c r="BI33" t="s">
        <v>426</v>
      </c>
      <c r="BJ33">
        <v>111</v>
      </c>
      <c r="BK33">
        <v>18058824</v>
      </c>
      <c r="BL33">
        <v>-2773109</v>
      </c>
      <c r="BM33">
        <v>-621849</v>
      </c>
      <c r="BN33">
        <v>14663866</v>
      </c>
      <c r="BO33">
        <v>16812766</v>
      </c>
      <c r="BP33">
        <v>-2148900</v>
      </c>
      <c r="BQ33" t="s">
        <v>664</v>
      </c>
      <c r="BR33">
        <v>0</v>
      </c>
      <c r="BS33">
        <v>764231</v>
      </c>
      <c r="BT33">
        <v>764231</v>
      </c>
      <c r="BU33">
        <v>0</v>
      </c>
      <c r="BV33" t="s">
        <v>441</v>
      </c>
      <c r="BW33">
        <v>0</v>
      </c>
      <c r="BX33">
        <v>0</v>
      </c>
      <c r="BY33">
        <v>0</v>
      </c>
      <c r="BZ33">
        <v>0</v>
      </c>
      <c r="CA33" t="s">
        <v>441</v>
      </c>
      <c r="CB33">
        <v>0</v>
      </c>
      <c r="CC33">
        <v>0</v>
      </c>
      <c r="CD33">
        <v>0</v>
      </c>
      <c r="CE33">
        <v>0</v>
      </c>
      <c r="CF33" t="s">
        <v>441</v>
      </c>
      <c r="CG33">
        <v>15285715</v>
      </c>
      <c r="CH33">
        <v>15428097</v>
      </c>
      <c r="CI33">
        <v>17576997</v>
      </c>
      <c r="CJ33">
        <v>-2148900</v>
      </c>
      <c r="CK33" t="s">
        <v>665</v>
      </c>
      <c r="CL33">
        <v>-2148900</v>
      </c>
      <c r="CM33" t="s">
        <v>665</v>
      </c>
      <c r="CN33">
        <v>0</v>
      </c>
      <c r="CO33">
        <v>0</v>
      </c>
      <c r="CP33">
        <v>18214231</v>
      </c>
      <c r="CQ33">
        <v>0</v>
      </c>
      <c r="CR33">
        <v>764231</v>
      </c>
      <c r="CS33">
        <v>0</v>
      </c>
      <c r="CT33">
        <v>18214232</v>
      </c>
      <c r="CU33">
        <v>15428097</v>
      </c>
      <c r="CV33" s="2">
        <v>-2148900</v>
      </c>
      <c r="CW33" t="s">
        <v>665</v>
      </c>
      <c r="CX33" t="s">
        <v>426</v>
      </c>
      <c r="CY33">
        <v>0</v>
      </c>
      <c r="CZ33" t="s">
        <v>426</v>
      </c>
      <c r="DA33">
        <v>0</v>
      </c>
      <c r="DB33">
        <v>0</v>
      </c>
      <c r="DC33">
        <v>0</v>
      </c>
      <c r="DD33" t="s">
        <v>426</v>
      </c>
    </row>
    <row r="34" spans="1:108">
      <c r="A34" s="38" t="s">
        <v>4</v>
      </c>
      <c r="B34" s="38" t="s">
        <v>6</v>
      </c>
      <c r="C34" s="38" t="s">
        <v>29</v>
      </c>
      <c r="D34" s="38" t="s">
        <v>98</v>
      </c>
      <c r="E34" s="38">
        <v>2025</v>
      </c>
      <c r="F34" s="38" t="s">
        <v>99</v>
      </c>
      <c r="G34" s="38" t="s">
        <v>97</v>
      </c>
      <c r="H34" s="38" t="s">
        <v>8</v>
      </c>
      <c r="I34" s="39" t="s">
        <v>1214</v>
      </c>
      <c r="J34" s="39" t="s">
        <v>1220</v>
      </c>
      <c r="K34" s="40">
        <f t="shared" si="0"/>
        <v>15342740</v>
      </c>
      <c r="L34" s="44">
        <v>145000</v>
      </c>
      <c r="M34" s="40">
        <f t="shared" si="1"/>
        <v>717696</v>
      </c>
      <c r="N34" s="40">
        <v>5000</v>
      </c>
      <c r="O34" s="40"/>
      <c r="P34" s="40">
        <f t="shared" si="2"/>
        <v>14549629</v>
      </c>
      <c r="Q34" s="43">
        <f t="shared" si="14"/>
        <v>2200000.0049999999</v>
      </c>
      <c r="R34" s="45">
        <v>1848739.5</v>
      </c>
      <c r="S34" s="40">
        <f t="shared" si="4"/>
        <v>0</v>
      </c>
      <c r="T34" s="40"/>
      <c r="U34" s="40">
        <v>150000</v>
      </c>
      <c r="V34" s="44">
        <f t="shared" si="11"/>
        <v>126050.42016806723</v>
      </c>
      <c r="W34" s="40">
        <f t="shared" si="13"/>
        <v>0</v>
      </c>
      <c r="X34" s="40"/>
      <c r="Y34" s="47">
        <f t="shared" si="7"/>
        <v>313982.92016806721</v>
      </c>
      <c r="Z34" s="40">
        <f>VLOOKUP(D34,'Archivo con Bonos Ingresados '!V:CB,59,0)</f>
        <v>313983</v>
      </c>
      <c r="AA34" s="40">
        <f t="shared" si="8"/>
        <v>7.9831932787783444E-2</v>
      </c>
      <c r="AB34" s="40">
        <f t="shared" si="9"/>
        <v>2.1580132398432097</v>
      </c>
      <c r="AC34" s="38" t="s">
        <v>471</v>
      </c>
      <c r="AD34" s="38">
        <v>5892</v>
      </c>
      <c r="AE34" s="38">
        <v>10324690</v>
      </c>
      <c r="AF34" s="38" t="s">
        <v>423</v>
      </c>
      <c r="AG34" s="38" t="s">
        <v>472</v>
      </c>
      <c r="AH34" s="38" t="s">
        <v>426</v>
      </c>
      <c r="AI34" s="38" t="s">
        <v>473</v>
      </c>
      <c r="AJ34" s="38" t="s">
        <v>426</v>
      </c>
      <c r="AK34" s="38" t="s">
        <v>474</v>
      </c>
      <c r="AL34" s="38" t="s">
        <v>475</v>
      </c>
      <c r="AM34" s="38" t="s">
        <v>476</v>
      </c>
      <c r="AN34" s="38" t="s">
        <v>426</v>
      </c>
      <c r="AO34" s="38" t="s">
        <v>430</v>
      </c>
      <c r="AP34" s="38" t="s">
        <v>464</v>
      </c>
      <c r="AQ34" s="38" t="s">
        <v>477</v>
      </c>
      <c r="AR34" s="38" t="s">
        <v>11</v>
      </c>
      <c r="AS34" s="38" t="s">
        <v>99</v>
      </c>
      <c r="AT34" s="38" t="s">
        <v>426</v>
      </c>
      <c r="AU34" s="38" t="s">
        <v>433</v>
      </c>
      <c r="AV34" s="38" t="s">
        <v>434</v>
      </c>
      <c r="AW34" s="38">
        <v>19846</v>
      </c>
      <c r="AX34" s="38" t="s">
        <v>478</v>
      </c>
      <c r="AY34" s="38" t="s">
        <v>426</v>
      </c>
      <c r="AZ34" s="38" t="s">
        <v>479</v>
      </c>
      <c r="BA34" s="38">
        <v>15342740</v>
      </c>
      <c r="BB34" s="38" t="s">
        <v>480</v>
      </c>
      <c r="BC34" s="38" t="s">
        <v>426</v>
      </c>
      <c r="BD34" s="38">
        <v>0</v>
      </c>
      <c r="BE34" s="38" t="s">
        <v>437</v>
      </c>
      <c r="BF34" s="38" t="s">
        <v>480</v>
      </c>
      <c r="BG34" s="38" t="s">
        <v>481</v>
      </c>
      <c r="BH34" s="38" t="s">
        <v>439</v>
      </c>
      <c r="BI34" s="38" t="s">
        <v>426</v>
      </c>
      <c r="BJ34" s="38">
        <v>71</v>
      </c>
      <c r="BK34" s="38">
        <v>0</v>
      </c>
      <c r="BL34" s="38">
        <v>-3109244</v>
      </c>
      <c r="BM34" s="38">
        <v>-613445</v>
      </c>
      <c r="BN34" s="38">
        <v>13831933</v>
      </c>
      <c r="BO34" s="38">
        <v>13494000</v>
      </c>
      <c r="BP34" s="38">
        <v>337933</v>
      </c>
      <c r="BQ34" s="38" t="s">
        <v>482</v>
      </c>
      <c r="BR34" s="38">
        <v>0</v>
      </c>
      <c r="BS34" s="38">
        <v>717696</v>
      </c>
      <c r="BT34" s="38">
        <v>717696</v>
      </c>
      <c r="BU34" s="38">
        <v>0</v>
      </c>
      <c r="BV34" s="38" t="s">
        <v>441</v>
      </c>
      <c r="BW34" s="38">
        <v>0</v>
      </c>
      <c r="BX34" s="38">
        <v>0</v>
      </c>
      <c r="BY34" s="38">
        <v>0</v>
      </c>
      <c r="BZ34" s="38">
        <v>0</v>
      </c>
      <c r="CA34" s="38" t="s">
        <v>441</v>
      </c>
      <c r="CB34" s="38">
        <v>0</v>
      </c>
      <c r="CC34" s="38">
        <v>0</v>
      </c>
      <c r="CD34" s="38">
        <v>0</v>
      </c>
      <c r="CE34" s="38">
        <v>0</v>
      </c>
      <c r="CF34" s="38" t="s">
        <v>441</v>
      </c>
      <c r="CG34" s="38">
        <v>-3109244</v>
      </c>
      <c r="CH34" s="38">
        <v>14549629</v>
      </c>
      <c r="CI34" s="38">
        <v>14216696</v>
      </c>
      <c r="CJ34" s="38">
        <v>332933</v>
      </c>
      <c r="CK34" s="38" t="s">
        <v>483</v>
      </c>
      <c r="CL34" s="38">
        <v>332933</v>
      </c>
      <c r="CM34" s="38" t="s">
        <v>483</v>
      </c>
      <c r="CN34" s="38">
        <v>0</v>
      </c>
      <c r="CO34" s="38">
        <v>0</v>
      </c>
      <c r="CP34" s="38">
        <v>17177696</v>
      </c>
      <c r="CQ34" s="38">
        <v>0</v>
      </c>
      <c r="CR34" s="38">
        <v>717696</v>
      </c>
      <c r="CS34" s="38">
        <v>0</v>
      </c>
      <c r="CT34" s="38">
        <v>17177696</v>
      </c>
      <c r="CU34" s="38">
        <v>14549629</v>
      </c>
      <c r="CV34" s="41">
        <v>332933</v>
      </c>
      <c r="CW34" s="38" t="s">
        <v>483</v>
      </c>
      <c r="CX34" s="38" t="s">
        <v>426</v>
      </c>
      <c r="CY34" s="38">
        <v>0</v>
      </c>
      <c r="CZ34" s="38" t="s">
        <v>426</v>
      </c>
      <c r="DA34" s="38">
        <v>0</v>
      </c>
      <c r="DB34" s="38">
        <v>2200000</v>
      </c>
      <c r="DC34" s="38">
        <v>5000</v>
      </c>
      <c r="DD34" s="38" t="s">
        <v>426</v>
      </c>
    </row>
    <row r="35" spans="1:108">
      <c r="A35" t="s">
        <v>4</v>
      </c>
      <c r="B35" t="s">
        <v>6</v>
      </c>
      <c r="C35" t="s">
        <v>28</v>
      </c>
      <c r="D35" t="s">
        <v>169</v>
      </c>
      <c r="E35">
        <v>2025</v>
      </c>
      <c r="F35" t="s">
        <v>170</v>
      </c>
      <c r="G35" t="s">
        <v>168</v>
      </c>
      <c r="H35" t="s">
        <v>5</v>
      </c>
      <c r="I35" s="37" t="s">
        <v>1214</v>
      </c>
      <c r="J35" s="37" t="s">
        <v>1221</v>
      </c>
      <c r="K35" s="18">
        <f t="shared" si="0"/>
        <v>20025176</v>
      </c>
      <c r="L35" s="44">
        <v>175000</v>
      </c>
      <c r="M35" s="18">
        <f t="shared" si="1"/>
        <v>1024400</v>
      </c>
      <c r="P35" s="18">
        <f t="shared" si="2"/>
        <v>18594484</v>
      </c>
      <c r="Q35" s="18">
        <f t="shared" si="14"/>
        <v>2950000.48</v>
      </c>
      <c r="R35" s="44">
        <v>2478992</v>
      </c>
      <c r="S35" s="18">
        <f t="shared" si="4"/>
        <v>449999.69</v>
      </c>
      <c r="T35" s="44">
        <v>378151</v>
      </c>
      <c r="U35" s="18">
        <v>300000</v>
      </c>
      <c r="V35" s="44">
        <f t="shared" si="11"/>
        <v>252100.84033613445</v>
      </c>
      <c r="W35" s="18">
        <f t="shared" si="13"/>
        <v>257900.37</v>
      </c>
      <c r="X35" s="44">
        <v>216723</v>
      </c>
      <c r="Y35" s="47">
        <f t="shared" si="7"/>
        <v>695874.84033613442</v>
      </c>
      <c r="Z35" s="40">
        <f>VLOOKUP(D35,'Archivo con Bonos Ingresados '!V:CB,59,0)</f>
        <v>695875</v>
      </c>
      <c r="AA35" s="18">
        <f t="shared" si="8"/>
        <v>0.15966386557556689</v>
      </c>
      <c r="AB35" s="18">
        <f t="shared" si="9"/>
        <v>3.7423724171971346</v>
      </c>
      <c r="AC35" t="s">
        <v>770</v>
      </c>
      <c r="AD35">
        <v>5963</v>
      </c>
      <c r="AE35">
        <v>15934220</v>
      </c>
      <c r="AF35" t="s">
        <v>485</v>
      </c>
      <c r="AG35" t="s">
        <v>771</v>
      </c>
      <c r="AH35" t="s">
        <v>772</v>
      </c>
      <c r="AI35" t="s">
        <v>426</v>
      </c>
      <c r="AJ35" t="s">
        <v>426</v>
      </c>
      <c r="AK35" t="s">
        <v>603</v>
      </c>
      <c r="AL35" t="s">
        <v>773</v>
      </c>
      <c r="AM35" t="s">
        <v>774</v>
      </c>
      <c r="AN35" t="s">
        <v>426</v>
      </c>
      <c r="AO35" t="s">
        <v>463</v>
      </c>
      <c r="AP35" t="s">
        <v>464</v>
      </c>
      <c r="AQ35" t="s">
        <v>775</v>
      </c>
      <c r="AR35" t="s">
        <v>13</v>
      </c>
      <c r="AS35" t="s">
        <v>170</v>
      </c>
      <c r="AT35" t="s">
        <v>170</v>
      </c>
      <c r="AU35" t="s">
        <v>433</v>
      </c>
      <c r="AV35" t="s">
        <v>434</v>
      </c>
      <c r="AW35">
        <v>19942</v>
      </c>
      <c r="AX35" t="s">
        <v>652</v>
      </c>
      <c r="AY35" t="s">
        <v>426</v>
      </c>
      <c r="AZ35" t="s">
        <v>776</v>
      </c>
      <c r="BA35">
        <v>20025176</v>
      </c>
      <c r="BB35" t="s">
        <v>654</v>
      </c>
      <c r="BC35" t="s">
        <v>426</v>
      </c>
      <c r="BD35">
        <v>0</v>
      </c>
      <c r="BE35" t="s">
        <v>437</v>
      </c>
      <c r="BF35" t="s">
        <v>654</v>
      </c>
      <c r="BG35" t="s">
        <v>438</v>
      </c>
      <c r="BH35" t="s">
        <v>439</v>
      </c>
      <c r="BI35" t="s">
        <v>426</v>
      </c>
      <c r="BJ35">
        <v>97</v>
      </c>
      <c r="BK35">
        <v>21672269</v>
      </c>
      <c r="BL35">
        <v>-3235294</v>
      </c>
      <c r="BM35">
        <v>-866891</v>
      </c>
      <c r="BN35">
        <v>17570084</v>
      </c>
      <c r="BO35">
        <v>20025176</v>
      </c>
      <c r="BP35">
        <v>-2455092</v>
      </c>
      <c r="BQ35" t="s">
        <v>777</v>
      </c>
      <c r="BR35">
        <v>0</v>
      </c>
      <c r="BS35">
        <v>1024400</v>
      </c>
      <c r="BT35">
        <v>1024400</v>
      </c>
      <c r="BU35">
        <v>0</v>
      </c>
      <c r="BV35" t="s">
        <v>441</v>
      </c>
      <c r="BW35">
        <v>0</v>
      </c>
      <c r="BX35">
        <v>0</v>
      </c>
      <c r="BY35">
        <v>0</v>
      </c>
      <c r="BZ35">
        <v>0</v>
      </c>
      <c r="CA35" t="s">
        <v>441</v>
      </c>
      <c r="CB35">
        <v>0</v>
      </c>
      <c r="CC35">
        <v>0</v>
      </c>
      <c r="CD35">
        <v>0</v>
      </c>
      <c r="CE35">
        <v>0</v>
      </c>
      <c r="CF35" t="s">
        <v>441</v>
      </c>
      <c r="CG35">
        <v>18436975</v>
      </c>
      <c r="CH35">
        <v>18594484</v>
      </c>
      <c r="CI35">
        <v>21049576</v>
      </c>
      <c r="CJ35">
        <v>-2455092</v>
      </c>
      <c r="CK35" t="s">
        <v>778</v>
      </c>
      <c r="CL35">
        <v>-2455092</v>
      </c>
      <c r="CM35" t="s">
        <v>778</v>
      </c>
      <c r="CN35">
        <v>0</v>
      </c>
      <c r="CO35">
        <v>0</v>
      </c>
      <c r="CP35">
        <v>21932800</v>
      </c>
      <c r="CQ35">
        <v>0</v>
      </c>
      <c r="CR35">
        <v>1024400</v>
      </c>
      <c r="CS35">
        <v>0</v>
      </c>
      <c r="CT35">
        <v>21932800</v>
      </c>
      <c r="CU35">
        <v>18594484</v>
      </c>
      <c r="CV35" s="2">
        <v>-2455092</v>
      </c>
      <c r="CW35" t="s">
        <v>778</v>
      </c>
      <c r="CX35" t="s">
        <v>426</v>
      </c>
      <c r="CY35">
        <v>0</v>
      </c>
      <c r="CZ35" t="s">
        <v>426</v>
      </c>
      <c r="DA35">
        <v>0</v>
      </c>
      <c r="DB35">
        <v>0</v>
      </c>
      <c r="DC35">
        <v>0</v>
      </c>
      <c r="DD35" t="s">
        <v>426</v>
      </c>
    </row>
    <row r="36" spans="1:108">
      <c r="A36" t="s">
        <v>4</v>
      </c>
      <c r="B36" t="s">
        <v>6</v>
      </c>
      <c r="C36" t="s">
        <v>90</v>
      </c>
      <c r="D36" t="s">
        <v>92</v>
      </c>
      <c r="E36">
        <v>2025</v>
      </c>
      <c r="F36" t="s">
        <v>93</v>
      </c>
      <c r="G36" t="s">
        <v>89</v>
      </c>
      <c r="H36" t="s">
        <v>88</v>
      </c>
      <c r="I36" s="37" t="s">
        <v>1214</v>
      </c>
      <c r="J36" s="37" t="s">
        <v>1220</v>
      </c>
      <c r="K36" s="18">
        <f t="shared" si="0"/>
        <v>18024933</v>
      </c>
      <c r="L36" s="44">
        <v>175000</v>
      </c>
      <c r="M36" s="18">
        <f t="shared" si="1"/>
        <v>924879</v>
      </c>
      <c r="P36" s="18">
        <f t="shared" si="2"/>
        <v>17017316</v>
      </c>
      <c r="Q36" s="18">
        <f t="shared" si="14"/>
        <v>1389070.3399999999</v>
      </c>
      <c r="R36" s="44">
        <v>1167286</v>
      </c>
      <c r="S36" s="18">
        <f t="shared" si="4"/>
        <v>1249999.8</v>
      </c>
      <c r="T36" s="44">
        <v>1050420</v>
      </c>
      <c r="U36" s="18">
        <v>150000</v>
      </c>
      <c r="V36" s="44">
        <f t="shared" si="11"/>
        <v>126050.42016806723</v>
      </c>
      <c r="W36" s="18">
        <f t="shared" si="13"/>
        <v>229899.66999999998</v>
      </c>
      <c r="X36" s="44">
        <v>193193</v>
      </c>
      <c r="Y36" s="47">
        <f t="shared" si="7"/>
        <v>429453.42016806721</v>
      </c>
      <c r="Z36" s="40">
        <f>VLOOKUP(D36,'Archivo con Bonos Ingresados '!V:CB,59,0)</f>
        <v>429453</v>
      </c>
      <c r="AA36" s="18">
        <f t="shared" si="8"/>
        <v>-0.42016806721221656</v>
      </c>
      <c r="AB36" s="18">
        <f t="shared" si="9"/>
        <v>2.5236260534156338</v>
      </c>
      <c r="AC36" t="s">
        <v>443</v>
      </c>
      <c r="AD36">
        <v>5886</v>
      </c>
      <c r="AE36">
        <v>17467115</v>
      </c>
      <c r="AF36" t="s">
        <v>444</v>
      </c>
      <c r="AG36" t="s">
        <v>445</v>
      </c>
      <c r="AH36" t="s">
        <v>426</v>
      </c>
      <c r="AI36" t="s">
        <v>446</v>
      </c>
      <c r="AJ36" t="s">
        <v>426</v>
      </c>
      <c r="AK36" t="s">
        <v>447</v>
      </c>
      <c r="AL36" t="s">
        <v>448</v>
      </c>
      <c r="AM36" t="s">
        <v>449</v>
      </c>
      <c r="AN36" t="s">
        <v>426</v>
      </c>
      <c r="AO36" t="s">
        <v>430</v>
      </c>
      <c r="AP36" t="s">
        <v>431</v>
      </c>
      <c r="AQ36" t="s">
        <v>450</v>
      </c>
      <c r="AR36" t="s">
        <v>91</v>
      </c>
      <c r="AS36" t="s">
        <v>93</v>
      </c>
      <c r="AT36" t="s">
        <v>426</v>
      </c>
      <c r="AU36" t="s">
        <v>433</v>
      </c>
      <c r="AV36" t="s">
        <v>434</v>
      </c>
      <c r="AW36">
        <v>19831</v>
      </c>
      <c r="AX36" t="s">
        <v>451</v>
      </c>
      <c r="AY36" t="s">
        <v>426</v>
      </c>
      <c r="AZ36" t="s">
        <v>452</v>
      </c>
      <c r="BA36">
        <v>18024933</v>
      </c>
      <c r="BB36" t="s">
        <v>453</v>
      </c>
      <c r="BC36" t="s">
        <v>426</v>
      </c>
      <c r="BD36">
        <v>0</v>
      </c>
      <c r="BE36" t="s">
        <v>426</v>
      </c>
      <c r="BF36" t="s">
        <v>453</v>
      </c>
      <c r="BG36" t="s">
        <v>454</v>
      </c>
      <c r="BH36" t="s">
        <v>439</v>
      </c>
      <c r="BI36" t="s">
        <v>426</v>
      </c>
      <c r="BJ36">
        <v>0</v>
      </c>
      <c r="BK36">
        <v>19319328</v>
      </c>
      <c r="BL36">
        <v>-2605042</v>
      </c>
      <c r="BM36">
        <v>-621849</v>
      </c>
      <c r="BN36">
        <v>16092437</v>
      </c>
      <c r="BO36">
        <v>18024933</v>
      </c>
      <c r="BP36">
        <v>-1932496</v>
      </c>
      <c r="BQ36" t="s">
        <v>455</v>
      </c>
      <c r="BR36">
        <v>0</v>
      </c>
      <c r="BS36">
        <v>924879</v>
      </c>
      <c r="BT36">
        <v>924879</v>
      </c>
      <c r="BU36">
        <v>0</v>
      </c>
      <c r="BV36" t="s">
        <v>441</v>
      </c>
      <c r="BW36">
        <v>0</v>
      </c>
      <c r="BX36">
        <v>0</v>
      </c>
      <c r="BY36">
        <v>0</v>
      </c>
      <c r="BZ36">
        <v>0</v>
      </c>
      <c r="CA36" t="s">
        <v>441</v>
      </c>
      <c r="CB36">
        <v>0</v>
      </c>
      <c r="CC36">
        <v>0</v>
      </c>
      <c r="CD36">
        <v>0</v>
      </c>
      <c r="CE36">
        <v>0</v>
      </c>
      <c r="CF36" t="s">
        <v>441</v>
      </c>
      <c r="CG36">
        <v>16714286</v>
      </c>
      <c r="CH36">
        <v>17017316</v>
      </c>
      <c r="CI36">
        <v>18949812</v>
      </c>
      <c r="CJ36">
        <v>-1932496</v>
      </c>
      <c r="CK36" t="s">
        <v>456</v>
      </c>
      <c r="CL36">
        <v>-1932496</v>
      </c>
      <c r="CM36" t="s">
        <v>456</v>
      </c>
      <c r="CN36">
        <v>0</v>
      </c>
      <c r="CO36">
        <v>0</v>
      </c>
      <c r="CP36">
        <v>20074879</v>
      </c>
      <c r="CQ36">
        <v>0</v>
      </c>
      <c r="CR36">
        <v>924879</v>
      </c>
      <c r="CS36">
        <v>0</v>
      </c>
      <c r="CT36">
        <v>20074879</v>
      </c>
      <c r="CU36">
        <v>17017316</v>
      </c>
      <c r="CV36" s="2">
        <v>-1932496</v>
      </c>
      <c r="CW36" t="s">
        <v>456</v>
      </c>
      <c r="CX36" t="s">
        <v>426</v>
      </c>
      <c r="CY36">
        <v>0</v>
      </c>
      <c r="CZ36" t="s">
        <v>426</v>
      </c>
      <c r="DA36">
        <v>0</v>
      </c>
      <c r="DB36">
        <v>0</v>
      </c>
      <c r="DC36">
        <v>0</v>
      </c>
      <c r="DD36" t="s">
        <v>426</v>
      </c>
    </row>
    <row r="37" spans="1:108">
      <c r="A37" t="s">
        <v>32</v>
      </c>
      <c r="B37" t="s">
        <v>36</v>
      </c>
      <c r="C37" t="s">
        <v>52</v>
      </c>
      <c r="D37" t="s">
        <v>208</v>
      </c>
      <c r="E37">
        <v>2025</v>
      </c>
      <c r="F37" t="s">
        <v>209</v>
      </c>
      <c r="G37" t="s">
        <v>207</v>
      </c>
      <c r="H37" t="s">
        <v>33</v>
      </c>
      <c r="I37" s="37" t="s">
        <v>1214</v>
      </c>
      <c r="J37" s="37" t="s">
        <v>1219</v>
      </c>
      <c r="K37" s="18">
        <f t="shared" si="0"/>
        <v>24554800</v>
      </c>
      <c r="L37" s="44">
        <v>235000</v>
      </c>
      <c r="M37" s="18">
        <f t="shared" si="1"/>
        <v>929310</v>
      </c>
      <c r="P37" s="18">
        <f t="shared" si="2"/>
        <v>25619310</v>
      </c>
      <c r="Q37" s="18">
        <f t="shared" si="14"/>
        <v>1785000</v>
      </c>
      <c r="R37" s="44">
        <v>1500000</v>
      </c>
      <c r="S37" s="18">
        <f t="shared" si="4"/>
        <v>0</v>
      </c>
      <c r="V37" s="18">
        <f t="shared" si="11"/>
        <v>0</v>
      </c>
      <c r="W37" s="18">
        <f t="shared" si="13"/>
        <v>0</v>
      </c>
      <c r="Y37" s="47">
        <f t="shared" si="7"/>
        <v>1400200</v>
      </c>
      <c r="Z37" s="40">
        <f>VLOOKUP(D37,'Archivo con Bonos Ingresados '!V:CB,59,0)</f>
        <v>1400200</v>
      </c>
      <c r="AA37" s="18">
        <f t="shared" si="8"/>
        <v>0</v>
      </c>
      <c r="AB37" s="18">
        <f t="shared" si="9"/>
        <v>5.465408709289985</v>
      </c>
      <c r="AC37" t="s">
        <v>902</v>
      </c>
      <c r="AD37">
        <v>5952</v>
      </c>
      <c r="AE37">
        <v>76321115</v>
      </c>
      <c r="AF37" t="s">
        <v>611</v>
      </c>
      <c r="AG37" t="s">
        <v>903</v>
      </c>
      <c r="AH37" t="s">
        <v>426</v>
      </c>
      <c r="AI37" t="s">
        <v>904</v>
      </c>
      <c r="AJ37" t="s">
        <v>426</v>
      </c>
      <c r="AK37" t="s">
        <v>905</v>
      </c>
      <c r="AL37" t="s">
        <v>906</v>
      </c>
      <c r="AM37" t="s">
        <v>907</v>
      </c>
      <c r="AP37" t="s">
        <v>787</v>
      </c>
      <c r="AQ37" t="s">
        <v>52</v>
      </c>
      <c r="AR37" t="s">
        <v>51</v>
      </c>
      <c r="AS37" t="s">
        <v>209</v>
      </c>
      <c r="AT37" t="s">
        <v>209</v>
      </c>
      <c r="AU37" t="s">
        <v>433</v>
      </c>
      <c r="AV37" t="s">
        <v>584</v>
      </c>
      <c r="AW37">
        <v>19913</v>
      </c>
      <c r="AX37" t="s">
        <v>585</v>
      </c>
      <c r="AY37" t="s">
        <v>426</v>
      </c>
      <c r="AZ37" t="s">
        <v>908</v>
      </c>
      <c r="BA37">
        <v>24554800</v>
      </c>
      <c r="BB37" t="s">
        <v>585</v>
      </c>
      <c r="BD37">
        <v>0</v>
      </c>
      <c r="BE37" t="s">
        <v>543</v>
      </c>
      <c r="BF37" t="s">
        <v>585</v>
      </c>
      <c r="BG37" t="s">
        <v>438</v>
      </c>
      <c r="BH37" t="s">
        <v>439</v>
      </c>
      <c r="BI37" t="s">
        <v>426</v>
      </c>
      <c r="BJ37">
        <v>0</v>
      </c>
      <c r="BK37">
        <v>26690000</v>
      </c>
      <c r="BL37">
        <v>-1500000</v>
      </c>
      <c r="BM37">
        <v>-500000</v>
      </c>
      <c r="BN37">
        <v>24690000</v>
      </c>
      <c r="BO37">
        <v>24554800</v>
      </c>
      <c r="BP37">
        <v>135200</v>
      </c>
      <c r="BQ37" t="s">
        <v>909</v>
      </c>
      <c r="BR37">
        <v>0</v>
      </c>
      <c r="BS37">
        <v>929310</v>
      </c>
      <c r="BT37">
        <v>929310</v>
      </c>
      <c r="BU37">
        <v>0</v>
      </c>
      <c r="BV37" t="s">
        <v>441</v>
      </c>
      <c r="BW37">
        <v>0</v>
      </c>
      <c r="BX37">
        <v>0</v>
      </c>
      <c r="BY37">
        <v>0</v>
      </c>
      <c r="BZ37">
        <v>0</v>
      </c>
      <c r="CA37" t="s">
        <v>441</v>
      </c>
      <c r="CB37">
        <v>0</v>
      </c>
      <c r="CC37">
        <v>0</v>
      </c>
      <c r="CD37">
        <v>0</v>
      </c>
      <c r="CE37">
        <v>0</v>
      </c>
      <c r="CF37" t="s">
        <v>441</v>
      </c>
      <c r="CG37">
        <v>25190000</v>
      </c>
      <c r="CH37">
        <v>25619310</v>
      </c>
      <c r="CI37">
        <v>25484110</v>
      </c>
      <c r="CJ37">
        <v>135200</v>
      </c>
      <c r="CK37" t="s">
        <v>910</v>
      </c>
      <c r="CL37">
        <v>135200</v>
      </c>
      <c r="CM37" t="s">
        <v>910</v>
      </c>
      <c r="CN37">
        <v>0</v>
      </c>
      <c r="CO37">
        <v>0</v>
      </c>
      <c r="CP37">
        <v>30310410</v>
      </c>
      <c r="CQ37">
        <v>0</v>
      </c>
      <c r="CR37">
        <v>929310</v>
      </c>
      <c r="CS37">
        <v>0</v>
      </c>
      <c r="CT37">
        <v>30310410</v>
      </c>
      <c r="CU37">
        <v>25619310</v>
      </c>
      <c r="CV37" s="2">
        <v>135200</v>
      </c>
      <c r="CW37" t="s">
        <v>910</v>
      </c>
      <c r="CX37" t="s">
        <v>426</v>
      </c>
      <c r="CY37">
        <v>0</v>
      </c>
      <c r="CZ37" t="s">
        <v>426</v>
      </c>
      <c r="DA37">
        <v>0</v>
      </c>
      <c r="DB37">
        <v>0</v>
      </c>
      <c r="DC37">
        <v>0</v>
      </c>
      <c r="DD37" t="s">
        <v>426</v>
      </c>
    </row>
    <row r="38" spans="1:108">
      <c r="A38" t="s">
        <v>4</v>
      </c>
      <c r="B38" t="s">
        <v>6</v>
      </c>
      <c r="C38" t="s">
        <v>12</v>
      </c>
      <c r="D38" t="s">
        <v>124</v>
      </c>
      <c r="E38">
        <v>2025</v>
      </c>
      <c r="F38" t="s">
        <v>125</v>
      </c>
      <c r="G38" t="s">
        <v>123</v>
      </c>
      <c r="H38" t="s">
        <v>5</v>
      </c>
      <c r="I38" s="39" t="s">
        <v>1214</v>
      </c>
      <c r="J38" s="37" t="s">
        <v>1219</v>
      </c>
      <c r="K38" s="18">
        <f t="shared" si="0"/>
        <v>30123832</v>
      </c>
      <c r="L38" s="44">
        <v>175000</v>
      </c>
      <c r="M38" s="18">
        <f t="shared" si="1"/>
        <v>2240615</v>
      </c>
      <c r="P38" s="18">
        <f t="shared" si="2"/>
        <v>34593556</v>
      </c>
      <c r="Q38" s="42">
        <f t="shared" si="14"/>
        <v>1999999.68</v>
      </c>
      <c r="R38" s="45">
        <v>1680672</v>
      </c>
      <c r="S38" s="18">
        <f t="shared" si="4"/>
        <v>0</v>
      </c>
      <c r="V38" s="18">
        <f t="shared" si="11"/>
        <v>0</v>
      </c>
      <c r="W38" s="18">
        <f t="shared" si="13"/>
        <v>0</v>
      </c>
      <c r="Y38" s="47">
        <f t="shared" si="7"/>
        <v>3734781</v>
      </c>
      <c r="Z38" s="40">
        <f>VLOOKUP(D38,'Archivo con Bonos Ingresados '!V:CB,59,0)</f>
        <v>3734781</v>
      </c>
      <c r="AA38" s="18">
        <f t="shared" si="8"/>
        <v>0</v>
      </c>
      <c r="AB38" s="18">
        <f t="shared" si="9"/>
        <v>10.796175449554825</v>
      </c>
      <c r="AC38" t="s">
        <v>569</v>
      </c>
      <c r="AD38">
        <v>5907</v>
      </c>
      <c r="AE38">
        <v>10888067</v>
      </c>
      <c r="AF38" t="s">
        <v>537</v>
      </c>
      <c r="AG38" t="s">
        <v>570</v>
      </c>
      <c r="AH38" t="s">
        <v>571</v>
      </c>
      <c r="AI38" t="s">
        <v>426</v>
      </c>
      <c r="AJ38" t="s">
        <v>426</v>
      </c>
      <c r="AK38" t="s">
        <v>447</v>
      </c>
      <c r="AL38" t="s">
        <v>572</v>
      </c>
      <c r="AM38" t="s">
        <v>573</v>
      </c>
      <c r="AN38" t="s">
        <v>426</v>
      </c>
      <c r="AO38" t="s">
        <v>463</v>
      </c>
      <c r="AP38" t="s">
        <v>464</v>
      </c>
      <c r="AQ38" t="s">
        <v>574</v>
      </c>
      <c r="AR38" t="s">
        <v>11</v>
      </c>
      <c r="AS38" t="s">
        <v>125</v>
      </c>
      <c r="AT38" t="s">
        <v>125</v>
      </c>
      <c r="AU38" t="s">
        <v>433</v>
      </c>
      <c r="AV38" t="s">
        <v>434</v>
      </c>
      <c r="AW38">
        <v>19845</v>
      </c>
      <c r="AX38" t="s">
        <v>478</v>
      </c>
      <c r="AY38" t="s">
        <v>426</v>
      </c>
      <c r="AZ38" t="s">
        <v>575</v>
      </c>
      <c r="BA38">
        <v>30123832</v>
      </c>
      <c r="BB38" t="s">
        <v>478</v>
      </c>
      <c r="BC38" t="s">
        <v>426</v>
      </c>
      <c r="BD38">
        <v>0</v>
      </c>
      <c r="BE38" t="s">
        <v>437</v>
      </c>
      <c r="BF38" t="s">
        <v>478</v>
      </c>
      <c r="BG38" t="s">
        <v>438</v>
      </c>
      <c r="BH38" t="s">
        <v>439</v>
      </c>
      <c r="BI38" t="s">
        <v>576</v>
      </c>
      <c r="BJ38">
        <v>0</v>
      </c>
      <c r="BK38">
        <v>34865546</v>
      </c>
      <c r="BL38">
        <v>-1680672</v>
      </c>
      <c r="BM38">
        <v>-831933</v>
      </c>
      <c r="BN38">
        <v>32352941</v>
      </c>
      <c r="BO38">
        <v>28443160</v>
      </c>
      <c r="BP38">
        <v>3909781</v>
      </c>
      <c r="BQ38" t="s">
        <v>577</v>
      </c>
      <c r="BR38">
        <v>0</v>
      </c>
      <c r="BS38">
        <v>2240615</v>
      </c>
      <c r="BT38">
        <v>2240615</v>
      </c>
      <c r="BU38">
        <v>0</v>
      </c>
      <c r="BV38" t="s">
        <v>441</v>
      </c>
      <c r="BW38">
        <v>0</v>
      </c>
      <c r="BX38">
        <v>0</v>
      </c>
      <c r="BY38">
        <v>0</v>
      </c>
      <c r="BZ38">
        <v>0</v>
      </c>
      <c r="CA38" t="s">
        <v>441</v>
      </c>
      <c r="CB38">
        <v>0</v>
      </c>
      <c r="CC38">
        <v>0</v>
      </c>
      <c r="CD38">
        <v>0</v>
      </c>
      <c r="CE38">
        <v>0</v>
      </c>
      <c r="CF38" t="s">
        <v>441</v>
      </c>
      <c r="CG38">
        <v>33184874</v>
      </c>
      <c r="CH38">
        <v>34593556</v>
      </c>
      <c r="CI38">
        <v>30683775</v>
      </c>
      <c r="CJ38">
        <v>3909781</v>
      </c>
      <c r="CK38" t="s">
        <v>578</v>
      </c>
      <c r="CL38">
        <v>3909781</v>
      </c>
      <c r="CM38" t="s">
        <v>578</v>
      </c>
      <c r="CN38">
        <v>0</v>
      </c>
      <c r="CO38">
        <v>29000000</v>
      </c>
      <c r="CP38">
        <v>11740615</v>
      </c>
      <c r="CQ38">
        <v>0</v>
      </c>
      <c r="CR38">
        <v>2240615</v>
      </c>
      <c r="CS38">
        <v>0</v>
      </c>
      <c r="CT38">
        <v>40740615</v>
      </c>
      <c r="CU38">
        <v>34593556</v>
      </c>
      <c r="CV38" s="2">
        <v>3909781</v>
      </c>
      <c r="CW38" t="s">
        <v>578</v>
      </c>
      <c r="CX38" t="s">
        <v>426</v>
      </c>
      <c r="CY38">
        <v>0</v>
      </c>
      <c r="CZ38" t="s">
        <v>426</v>
      </c>
      <c r="DA38">
        <v>0</v>
      </c>
      <c r="DB38">
        <v>2000000</v>
      </c>
      <c r="DC38">
        <v>0</v>
      </c>
      <c r="DD38" t="s">
        <v>426</v>
      </c>
    </row>
    <row r="39" spans="1:108">
      <c r="A39" t="s">
        <v>4</v>
      </c>
      <c r="B39" t="s">
        <v>6</v>
      </c>
      <c r="C39" t="s">
        <v>10</v>
      </c>
      <c r="D39" t="s">
        <v>75</v>
      </c>
      <c r="E39">
        <v>2025</v>
      </c>
      <c r="F39" t="s">
        <v>76</v>
      </c>
      <c r="G39" t="s">
        <v>74</v>
      </c>
      <c r="H39" t="s">
        <v>5</v>
      </c>
      <c r="I39" s="37" t="s">
        <v>1214</v>
      </c>
      <c r="J39" s="37" t="s">
        <v>1219</v>
      </c>
      <c r="K39" s="18">
        <f t="shared" si="0"/>
        <v>23804093</v>
      </c>
      <c r="L39" s="44">
        <v>175000</v>
      </c>
      <c r="M39" s="18">
        <f t="shared" si="1"/>
        <v>1592887</v>
      </c>
      <c r="P39" s="18">
        <f t="shared" si="2"/>
        <v>24441627</v>
      </c>
      <c r="Q39" s="18">
        <f t="shared" si="14"/>
        <v>2900000.25</v>
      </c>
      <c r="R39" s="44">
        <v>2436975</v>
      </c>
      <c r="S39" s="18">
        <f t="shared" si="4"/>
        <v>0</v>
      </c>
      <c r="T39" s="42"/>
      <c r="V39" s="18">
        <f t="shared" si="11"/>
        <v>0</v>
      </c>
      <c r="W39" s="18">
        <f t="shared" si="13"/>
        <v>306899.81</v>
      </c>
      <c r="X39" s="44">
        <v>257899</v>
      </c>
      <c r="Y39" s="47">
        <f t="shared" si="7"/>
        <v>1564521</v>
      </c>
      <c r="Z39" s="40">
        <f>VLOOKUP(D39,'Archivo con Bonos Ingresados '!V:CB,59,0)</f>
        <v>1564521</v>
      </c>
      <c r="AA39" s="18">
        <f t="shared" si="8"/>
        <v>0</v>
      </c>
      <c r="AB39" s="18">
        <f t="shared" si="9"/>
        <v>6.4010509611328246</v>
      </c>
      <c r="AC39" t="s">
        <v>666</v>
      </c>
      <c r="AD39">
        <v>5931</v>
      </c>
      <c r="AE39">
        <v>6506064</v>
      </c>
      <c r="AF39" t="s">
        <v>592</v>
      </c>
      <c r="AG39" t="s">
        <v>667</v>
      </c>
      <c r="AH39" t="s">
        <v>668</v>
      </c>
      <c r="AI39" t="s">
        <v>426</v>
      </c>
      <c r="AJ39" t="s">
        <v>426</v>
      </c>
      <c r="AK39" t="s">
        <v>447</v>
      </c>
      <c r="AL39" t="s">
        <v>669</v>
      </c>
      <c r="AM39" t="s">
        <v>670</v>
      </c>
      <c r="AN39" t="s">
        <v>426</v>
      </c>
      <c r="AO39" t="s">
        <v>463</v>
      </c>
      <c r="AP39" t="s">
        <v>464</v>
      </c>
      <c r="AQ39" t="s">
        <v>606</v>
      </c>
      <c r="AR39" t="s">
        <v>11</v>
      </c>
      <c r="AS39" t="s">
        <v>76</v>
      </c>
      <c r="AT39" t="s">
        <v>426</v>
      </c>
      <c r="AU39" t="s">
        <v>433</v>
      </c>
      <c r="AV39" t="s">
        <v>434</v>
      </c>
      <c r="AW39">
        <v>19883</v>
      </c>
      <c r="AX39" t="s">
        <v>671</v>
      </c>
      <c r="AY39" t="s">
        <v>426</v>
      </c>
      <c r="AZ39" t="s">
        <v>672</v>
      </c>
      <c r="BA39">
        <v>23804093</v>
      </c>
      <c r="BB39" t="s">
        <v>671</v>
      </c>
      <c r="BC39" t="s">
        <v>426</v>
      </c>
      <c r="BD39">
        <v>0</v>
      </c>
      <c r="BE39" t="s">
        <v>437</v>
      </c>
      <c r="BF39" t="s">
        <v>671</v>
      </c>
      <c r="BG39" t="s">
        <v>438</v>
      </c>
      <c r="BH39" t="s">
        <v>439</v>
      </c>
      <c r="BI39" t="s">
        <v>426</v>
      </c>
      <c r="BJ39">
        <v>0</v>
      </c>
      <c r="BK39">
        <v>25789916</v>
      </c>
      <c r="BL39">
        <v>-2436975</v>
      </c>
      <c r="BM39">
        <v>-504202</v>
      </c>
      <c r="BN39">
        <v>22848740</v>
      </c>
      <c r="BO39">
        <v>23804093</v>
      </c>
      <c r="BP39">
        <v>-955353</v>
      </c>
      <c r="BQ39" t="s">
        <v>673</v>
      </c>
      <c r="BR39">
        <v>0</v>
      </c>
      <c r="BS39">
        <v>1592887</v>
      </c>
      <c r="BT39">
        <v>1592887</v>
      </c>
      <c r="BU39">
        <v>0</v>
      </c>
      <c r="BV39" t="s">
        <v>441</v>
      </c>
      <c r="BW39">
        <v>0</v>
      </c>
      <c r="BX39">
        <v>0</v>
      </c>
      <c r="BY39">
        <v>0</v>
      </c>
      <c r="BZ39">
        <v>0</v>
      </c>
      <c r="CA39" t="s">
        <v>441</v>
      </c>
      <c r="CB39">
        <v>0</v>
      </c>
      <c r="CC39">
        <v>0</v>
      </c>
      <c r="CD39">
        <v>0</v>
      </c>
      <c r="CE39">
        <v>0</v>
      </c>
      <c r="CF39" t="s">
        <v>441</v>
      </c>
      <c r="CG39">
        <v>23352941</v>
      </c>
      <c r="CH39">
        <v>24441627</v>
      </c>
      <c r="CI39">
        <v>25396980</v>
      </c>
      <c r="CJ39">
        <v>-955353</v>
      </c>
      <c r="CK39" t="s">
        <v>674</v>
      </c>
      <c r="CL39">
        <v>-955353</v>
      </c>
      <c r="CM39" t="s">
        <v>674</v>
      </c>
      <c r="CN39">
        <v>0</v>
      </c>
      <c r="CO39">
        <v>0</v>
      </c>
      <c r="CP39">
        <v>28782887</v>
      </c>
      <c r="CQ39">
        <v>0</v>
      </c>
      <c r="CR39">
        <v>1592887</v>
      </c>
      <c r="CS39">
        <v>0</v>
      </c>
      <c r="CT39">
        <v>28782888</v>
      </c>
      <c r="CU39">
        <v>24441627</v>
      </c>
      <c r="CV39" s="2">
        <v>-955353</v>
      </c>
      <c r="CW39" t="s">
        <v>674</v>
      </c>
      <c r="CX39" t="s">
        <v>426</v>
      </c>
      <c r="CY39">
        <v>0</v>
      </c>
      <c r="CZ39" t="s">
        <v>426</v>
      </c>
      <c r="DA39">
        <v>0</v>
      </c>
      <c r="DB39">
        <v>0</v>
      </c>
      <c r="DC39">
        <v>0</v>
      </c>
      <c r="DD39" t="s">
        <v>426</v>
      </c>
    </row>
    <row r="40" spans="1:108">
      <c r="A40" t="s">
        <v>4</v>
      </c>
      <c r="B40" t="s">
        <v>6</v>
      </c>
      <c r="C40" t="s">
        <v>25</v>
      </c>
      <c r="D40" t="s">
        <v>149</v>
      </c>
      <c r="E40">
        <v>2025</v>
      </c>
      <c r="F40" t="s">
        <v>150</v>
      </c>
      <c r="G40" t="s">
        <v>148</v>
      </c>
      <c r="H40" t="s">
        <v>8</v>
      </c>
      <c r="I40" s="37" t="s">
        <v>1214</v>
      </c>
      <c r="J40" s="37" t="s">
        <v>1219</v>
      </c>
      <c r="K40" s="18">
        <f t="shared" si="0"/>
        <v>16848883</v>
      </c>
      <c r="L40" s="44">
        <v>175000</v>
      </c>
      <c r="M40" s="18">
        <f t="shared" si="1"/>
        <v>889892</v>
      </c>
      <c r="P40" s="18">
        <f t="shared" si="2"/>
        <v>16394598</v>
      </c>
      <c r="Q40" s="18">
        <f t="shared" si="14"/>
        <v>1749999.72</v>
      </c>
      <c r="R40" s="44">
        <v>1470588</v>
      </c>
      <c r="S40" s="18">
        <f t="shared" si="4"/>
        <v>0</v>
      </c>
      <c r="T40" s="42"/>
      <c r="V40" s="18">
        <f t="shared" si="11"/>
        <v>0</v>
      </c>
      <c r="W40" s="18">
        <f t="shared" si="13"/>
        <v>214899.72</v>
      </c>
      <c r="X40" s="44">
        <v>180588</v>
      </c>
      <c r="Y40" s="47">
        <f t="shared" si="7"/>
        <v>131999</v>
      </c>
      <c r="Z40" s="40">
        <f>VLOOKUP(D40,'Archivo con Bonos Ingresados '!V:CB,59,0)</f>
        <v>131999</v>
      </c>
      <c r="AA40" s="18">
        <f t="shared" si="8"/>
        <v>0</v>
      </c>
      <c r="AB40" s="18">
        <f t="shared" si="9"/>
        <v>0.80513715554355159</v>
      </c>
      <c r="AC40" t="s">
        <v>716</v>
      </c>
      <c r="AD40">
        <v>5949</v>
      </c>
      <c r="AE40">
        <v>10653803</v>
      </c>
      <c r="AF40" t="s">
        <v>485</v>
      </c>
      <c r="AG40" t="s">
        <v>717</v>
      </c>
      <c r="AH40" t="s">
        <v>718</v>
      </c>
      <c r="AI40" t="s">
        <v>426</v>
      </c>
      <c r="AJ40" t="s">
        <v>426</v>
      </c>
      <c r="AK40" t="s">
        <v>719</v>
      </c>
      <c r="AL40" t="s">
        <v>720</v>
      </c>
      <c r="AM40" t="s">
        <v>721</v>
      </c>
      <c r="AN40" t="s">
        <v>426</v>
      </c>
      <c r="AO40" t="s">
        <v>430</v>
      </c>
      <c r="AP40" t="s">
        <v>431</v>
      </c>
      <c r="AQ40" t="s">
        <v>432</v>
      </c>
      <c r="AR40" t="s">
        <v>26</v>
      </c>
      <c r="AS40" t="s">
        <v>150</v>
      </c>
      <c r="AT40" t="s">
        <v>150</v>
      </c>
      <c r="AU40" t="s">
        <v>433</v>
      </c>
      <c r="AV40" t="s">
        <v>434</v>
      </c>
      <c r="AW40">
        <v>19925</v>
      </c>
      <c r="AX40" t="s">
        <v>722</v>
      </c>
      <c r="AY40" t="s">
        <v>426</v>
      </c>
      <c r="AZ40" t="s">
        <v>723</v>
      </c>
      <c r="BA40">
        <v>16848883</v>
      </c>
      <c r="BB40" t="s">
        <v>722</v>
      </c>
      <c r="BC40" t="s">
        <v>426</v>
      </c>
      <c r="BD40">
        <v>0</v>
      </c>
      <c r="BE40" t="s">
        <v>437</v>
      </c>
      <c r="BF40" t="s">
        <v>722</v>
      </c>
      <c r="BG40" t="s">
        <v>481</v>
      </c>
      <c r="BH40" t="s">
        <v>439</v>
      </c>
      <c r="BI40" t="s">
        <v>426</v>
      </c>
      <c r="BJ40">
        <v>32</v>
      </c>
      <c r="BK40">
        <v>18058824</v>
      </c>
      <c r="BL40">
        <v>-1470588</v>
      </c>
      <c r="BM40">
        <v>-1083529</v>
      </c>
      <c r="BN40">
        <v>15504706</v>
      </c>
      <c r="BO40">
        <v>16848883</v>
      </c>
      <c r="BP40">
        <v>-1344177</v>
      </c>
      <c r="BQ40" t="s">
        <v>724</v>
      </c>
      <c r="BR40">
        <v>0</v>
      </c>
      <c r="BS40">
        <v>889892</v>
      </c>
      <c r="BT40">
        <v>889892</v>
      </c>
      <c r="BU40">
        <v>0</v>
      </c>
      <c r="BV40" t="s">
        <v>441</v>
      </c>
      <c r="BW40">
        <v>0</v>
      </c>
      <c r="BX40">
        <v>0</v>
      </c>
      <c r="BY40">
        <v>0</v>
      </c>
      <c r="BZ40">
        <v>0</v>
      </c>
      <c r="CA40" t="s">
        <v>441</v>
      </c>
      <c r="CB40">
        <v>0</v>
      </c>
      <c r="CC40">
        <v>0</v>
      </c>
      <c r="CD40">
        <v>0</v>
      </c>
      <c r="CE40">
        <v>0</v>
      </c>
      <c r="CF40" t="s">
        <v>441</v>
      </c>
      <c r="CG40">
        <v>16588236</v>
      </c>
      <c r="CH40">
        <v>16394598</v>
      </c>
      <c r="CI40">
        <v>17738775</v>
      </c>
      <c r="CJ40">
        <v>-1344177</v>
      </c>
      <c r="CK40" t="s">
        <v>725</v>
      </c>
      <c r="CL40">
        <v>-1344177</v>
      </c>
      <c r="CM40" t="s">
        <v>725</v>
      </c>
      <c r="CN40">
        <v>0</v>
      </c>
      <c r="CO40">
        <v>0</v>
      </c>
      <c r="CP40">
        <v>19340492</v>
      </c>
      <c r="CQ40">
        <v>0</v>
      </c>
      <c r="CR40">
        <v>889892</v>
      </c>
      <c r="CS40">
        <v>0</v>
      </c>
      <c r="CT40">
        <v>19340492</v>
      </c>
      <c r="CU40">
        <v>16394598</v>
      </c>
      <c r="CV40" s="2">
        <v>-1344177</v>
      </c>
      <c r="CW40" t="s">
        <v>725</v>
      </c>
      <c r="CX40" t="s">
        <v>426</v>
      </c>
      <c r="CY40">
        <v>0</v>
      </c>
      <c r="CZ40" t="s">
        <v>426</v>
      </c>
      <c r="DA40">
        <v>0</v>
      </c>
      <c r="DB40">
        <v>0</v>
      </c>
      <c r="DC40">
        <v>0</v>
      </c>
      <c r="DD40" t="s">
        <v>426</v>
      </c>
    </row>
    <row r="41" spans="1:108">
      <c r="A41" t="s">
        <v>32</v>
      </c>
      <c r="B41" t="s">
        <v>36</v>
      </c>
      <c r="C41" t="s">
        <v>196</v>
      </c>
      <c r="D41" t="s">
        <v>197</v>
      </c>
      <c r="E41">
        <v>2024</v>
      </c>
      <c r="F41" t="s">
        <v>198</v>
      </c>
      <c r="G41" t="s">
        <v>195</v>
      </c>
      <c r="H41" t="s">
        <v>43</v>
      </c>
      <c r="I41" s="37" t="s">
        <v>1214</v>
      </c>
      <c r="J41" s="37" t="s">
        <v>1219</v>
      </c>
      <c r="K41" s="18">
        <f t="shared" si="0"/>
        <v>21298620</v>
      </c>
      <c r="L41" s="44">
        <v>235000</v>
      </c>
      <c r="M41" s="18">
        <f t="shared" si="1"/>
        <v>721264</v>
      </c>
      <c r="P41" s="18">
        <f t="shared" si="2"/>
        <v>23140864</v>
      </c>
      <c r="Q41" s="18">
        <f t="shared" si="14"/>
        <v>0</v>
      </c>
      <c r="S41" s="18">
        <f t="shared" si="4"/>
        <v>0</v>
      </c>
      <c r="V41" s="18">
        <f t="shared" si="11"/>
        <v>0</v>
      </c>
      <c r="W41" s="18">
        <f t="shared" si="13"/>
        <v>0</v>
      </c>
      <c r="Y41" s="47">
        <f t="shared" si="7"/>
        <v>885980</v>
      </c>
      <c r="Z41" s="40">
        <f>VLOOKUP(D41,'Archivo con Bonos Ingresados '!V:CB,59,0)</f>
        <v>885980</v>
      </c>
      <c r="AA41" s="18">
        <f t="shared" si="8"/>
        <v>0</v>
      </c>
      <c r="AB41" s="18">
        <f t="shared" si="9"/>
        <v>3.8286383775471822</v>
      </c>
      <c r="AC41" t="s">
        <v>841</v>
      </c>
      <c r="AD41">
        <v>5912</v>
      </c>
      <c r="AE41">
        <v>77423111</v>
      </c>
      <c r="AF41" t="s">
        <v>611</v>
      </c>
      <c r="AG41" t="s">
        <v>842</v>
      </c>
      <c r="AH41" t="s">
        <v>426</v>
      </c>
      <c r="AI41" t="s">
        <v>843</v>
      </c>
      <c r="AJ41" t="s">
        <v>426</v>
      </c>
      <c r="AK41" t="s">
        <v>844</v>
      </c>
      <c r="AL41" t="s">
        <v>845</v>
      </c>
      <c r="AM41" t="s">
        <v>846</v>
      </c>
      <c r="AP41" t="s">
        <v>787</v>
      </c>
      <c r="AQ41" t="s">
        <v>196</v>
      </c>
      <c r="AR41" t="s">
        <v>38</v>
      </c>
      <c r="AS41" t="s">
        <v>198</v>
      </c>
      <c r="AT41" t="s">
        <v>198</v>
      </c>
      <c r="AU41" t="s">
        <v>433</v>
      </c>
      <c r="AV41" t="s">
        <v>584</v>
      </c>
      <c r="AW41">
        <v>19889</v>
      </c>
      <c r="AX41" t="s">
        <v>690</v>
      </c>
      <c r="AY41" t="s">
        <v>426</v>
      </c>
      <c r="AZ41" t="s">
        <v>848</v>
      </c>
      <c r="BA41">
        <v>21298620</v>
      </c>
      <c r="BB41" t="s">
        <v>849</v>
      </c>
      <c r="BD41">
        <v>0</v>
      </c>
      <c r="BE41" t="s">
        <v>533</v>
      </c>
      <c r="BF41" t="s">
        <v>849</v>
      </c>
      <c r="BG41" t="s">
        <v>481</v>
      </c>
      <c r="BH41" t="s">
        <v>439</v>
      </c>
      <c r="BI41" t="s">
        <v>850</v>
      </c>
      <c r="BJ41">
        <v>6</v>
      </c>
      <c r="BK41">
        <v>26690000</v>
      </c>
      <c r="BL41">
        <v>-4270400</v>
      </c>
      <c r="BM41">
        <v>0</v>
      </c>
      <c r="BN41">
        <v>22419600</v>
      </c>
      <c r="BO41">
        <v>21298620</v>
      </c>
      <c r="BP41">
        <v>1120980</v>
      </c>
      <c r="BQ41" t="s">
        <v>851</v>
      </c>
      <c r="BR41">
        <v>0</v>
      </c>
      <c r="BS41">
        <v>721264</v>
      </c>
      <c r="BT41">
        <v>721264</v>
      </c>
      <c r="BU41">
        <v>0</v>
      </c>
      <c r="BV41" t="s">
        <v>441</v>
      </c>
      <c r="BW41">
        <v>0</v>
      </c>
      <c r="BX41">
        <v>0</v>
      </c>
      <c r="BY41">
        <v>0</v>
      </c>
      <c r="BZ41">
        <v>0</v>
      </c>
      <c r="CA41" t="s">
        <v>441</v>
      </c>
      <c r="CB41">
        <v>0</v>
      </c>
      <c r="CC41">
        <v>0</v>
      </c>
      <c r="CD41">
        <v>0</v>
      </c>
      <c r="CE41">
        <v>0</v>
      </c>
      <c r="CF41" t="s">
        <v>441</v>
      </c>
      <c r="CG41">
        <v>22419600</v>
      </c>
      <c r="CH41">
        <v>23140864</v>
      </c>
      <c r="CI41">
        <v>22019884</v>
      </c>
      <c r="CJ41">
        <v>1120980</v>
      </c>
      <c r="CK41" t="s">
        <v>852</v>
      </c>
      <c r="CL41">
        <v>1120980</v>
      </c>
      <c r="CM41" t="s">
        <v>852</v>
      </c>
      <c r="CN41">
        <v>0</v>
      </c>
      <c r="CO41">
        <v>2000000</v>
      </c>
      <c r="CP41">
        <v>25400588</v>
      </c>
      <c r="CQ41">
        <v>0</v>
      </c>
      <c r="CR41">
        <v>721264</v>
      </c>
      <c r="CS41">
        <v>0</v>
      </c>
      <c r="CT41">
        <v>27400588</v>
      </c>
      <c r="CU41">
        <v>23140864</v>
      </c>
      <c r="CV41" s="2">
        <v>1120980</v>
      </c>
      <c r="CW41" t="s">
        <v>852</v>
      </c>
      <c r="CX41" t="s">
        <v>426</v>
      </c>
      <c r="CY41">
        <v>0</v>
      </c>
      <c r="CZ41" t="s">
        <v>426</v>
      </c>
      <c r="DA41">
        <v>0</v>
      </c>
      <c r="DB41">
        <v>0</v>
      </c>
      <c r="DC41">
        <v>0</v>
      </c>
      <c r="DD41" t="s">
        <v>426</v>
      </c>
    </row>
    <row r="42" spans="1:108">
      <c r="A42" t="s">
        <v>4</v>
      </c>
      <c r="B42" t="s">
        <v>6</v>
      </c>
      <c r="C42" t="s">
        <v>24</v>
      </c>
      <c r="D42" t="s">
        <v>115</v>
      </c>
      <c r="E42">
        <v>2025</v>
      </c>
      <c r="F42" t="s">
        <v>116</v>
      </c>
      <c r="G42" t="s">
        <v>67</v>
      </c>
      <c r="H42" t="s">
        <v>8</v>
      </c>
      <c r="I42" s="39" t="s">
        <v>1214</v>
      </c>
      <c r="J42" s="37" t="s">
        <v>1219</v>
      </c>
      <c r="K42" s="18">
        <f t="shared" si="0"/>
        <v>11047360</v>
      </c>
      <c r="L42" s="44">
        <v>90000</v>
      </c>
      <c r="M42" s="18">
        <f t="shared" si="1"/>
        <v>412733</v>
      </c>
      <c r="P42" s="18">
        <f t="shared" si="2"/>
        <v>11227859</v>
      </c>
      <c r="Q42" s="18">
        <f t="shared" si="14"/>
        <v>1487500</v>
      </c>
      <c r="R42" s="44">
        <v>1250000</v>
      </c>
      <c r="S42" s="18">
        <f t="shared" si="4"/>
        <v>0</v>
      </c>
      <c r="V42" s="18">
        <f t="shared" si="11"/>
        <v>0</v>
      </c>
      <c r="W42" s="18">
        <f t="shared" si="13"/>
        <v>0</v>
      </c>
      <c r="Y42" s="47">
        <f t="shared" si="7"/>
        <v>927766</v>
      </c>
      <c r="Z42" s="40">
        <f>VLOOKUP(D42,'Archivo con Bonos Ingresados '!V:CB,59,0)</f>
        <v>927766</v>
      </c>
      <c r="AA42" s="18">
        <f t="shared" si="8"/>
        <v>0</v>
      </c>
      <c r="AB42" s="18">
        <f t="shared" si="9"/>
        <v>8.2630713477965827</v>
      </c>
      <c r="AC42" t="s">
        <v>536</v>
      </c>
      <c r="AD42">
        <v>5900</v>
      </c>
      <c r="AE42">
        <v>76257832</v>
      </c>
      <c r="AF42" t="s">
        <v>537</v>
      </c>
      <c r="AG42" t="s">
        <v>538</v>
      </c>
      <c r="AH42" t="s">
        <v>426</v>
      </c>
      <c r="AI42" t="s">
        <v>539</v>
      </c>
      <c r="AJ42" t="s">
        <v>426</v>
      </c>
      <c r="AK42" t="s">
        <v>540</v>
      </c>
      <c r="AL42" t="s">
        <v>475</v>
      </c>
      <c r="AM42" t="s">
        <v>541</v>
      </c>
      <c r="AN42" t="s">
        <v>426</v>
      </c>
      <c r="AO42" t="s">
        <v>490</v>
      </c>
      <c r="AP42" t="s">
        <v>491</v>
      </c>
      <c r="AQ42" t="s">
        <v>492</v>
      </c>
      <c r="AR42" t="s">
        <v>7</v>
      </c>
      <c r="AS42" t="s">
        <v>116</v>
      </c>
      <c r="AT42" t="s">
        <v>116</v>
      </c>
      <c r="AU42" t="s">
        <v>433</v>
      </c>
      <c r="AV42" t="s">
        <v>434</v>
      </c>
      <c r="AW42">
        <v>19843</v>
      </c>
      <c r="AX42" t="s">
        <v>478</v>
      </c>
      <c r="AY42" t="s">
        <v>426</v>
      </c>
      <c r="AZ42" t="s">
        <v>542</v>
      </c>
      <c r="BA42">
        <v>11047360</v>
      </c>
      <c r="BB42" t="s">
        <v>478</v>
      </c>
      <c r="BC42" t="s">
        <v>426</v>
      </c>
      <c r="BD42">
        <v>0</v>
      </c>
      <c r="BE42" t="s">
        <v>543</v>
      </c>
      <c r="BF42" t="s">
        <v>478</v>
      </c>
      <c r="BG42" t="s">
        <v>481</v>
      </c>
      <c r="BH42" t="s">
        <v>439</v>
      </c>
      <c r="BI42" t="s">
        <v>426</v>
      </c>
      <c r="BJ42">
        <v>0</v>
      </c>
      <c r="BK42">
        <v>12640000</v>
      </c>
      <c r="BL42">
        <v>-1250000</v>
      </c>
      <c r="BM42">
        <v>-574874</v>
      </c>
      <c r="BN42">
        <v>10815126</v>
      </c>
      <c r="BO42">
        <v>11047360</v>
      </c>
      <c r="BP42">
        <v>-232234</v>
      </c>
      <c r="BQ42" t="s">
        <v>544</v>
      </c>
      <c r="BR42">
        <v>0</v>
      </c>
      <c r="BS42">
        <v>412733</v>
      </c>
      <c r="BT42">
        <v>412733</v>
      </c>
      <c r="BU42">
        <v>0</v>
      </c>
      <c r="BV42" t="s">
        <v>441</v>
      </c>
      <c r="BW42">
        <v>0</v>
      </c>
      <c r="BX42">
        <v>0</v>
      </c>
      <c r="BY42">
        <v>0</v>
      </c>
      <c r="BZ42">
        <v>0</v>
      </c>
      <c r="CA42" t="s">
        <v>441</v>
      </c>
      <c r="CB42">
        <v>0</v>
      </c>
      <c r="CC42">
        <v>0</v>
      </c>
      <c r="CD42">
        <v>0</v>
      </c>
      <c r="CE42">
        <v>0</v>
      </c>
      <c r="CF42" t="s">
        <v>441</v>
      </c>
      <c r="CG42">
        <v>11390000</v>
      </c>
      <c r="CH42">
        <v>11227859</v>
      </c>
      <c r="CI42">
        <v>11460093</v>
      </c>
      <c r="CJ42">
        <v>-232234</v>
      </c>
      <c r="CK42" t="s">
        <v>545</v>
      </c>
      <c r="CL42">
        <v>-232234</v>
      </c>
      <c r="CM42" t="s">
        <v>545</v>
      </c>
      <c r="CN42">
        <v>0</v>
      </c>
      <c r="CO42">
        <v>0</v>
      </c>
      <c r="CP42">
        <v>13282733</v>
      </c>
      <c r="CQ42">
        <v>0</v>
      </c>
      <c r="CR42">
        <v>412733</v>
      </c>
      <c r="CS42">
        <v>0</v>
      </c>
      <c r="CT42">
        <v>13282733</v>
      </c>
      <c r="CU42">
        <v>11227859</v>
      </c>
      <c r="CV42" s="2">
        <v>-232234</v>
      </c>
      <c r="CW42" t="s">
        <v>545</v>
      </c>
      <c r="CX42" t="s">
        <v>426</v>
      </c>
      <c r="CY42">
        <v>0</v>
      </c>
      <c r="CZ42" t="s">
        <v>426</v>
      </c>
      <c r="DA42">
        <v>0</v>
      </c>
      <c r="DB42">
        <v>0</v>
      </c>
      <c r="DC42">
        <v>0</v>
      </c>
      <c r="DD42" t="s">
        <v>426</v>
      </c>
    </row>
    <row r="43" spans="1:108">
      <c r="A43" t="s">
        <v>4</v>
      </c>
      <c r="B43" t="s">
        <v>6</v>
      </c>
      <c r="C43" t="s">
        <v>24</v>
      </c>
      <c r="D43" t="s">
        <v>68</v>
      </c>
      <c r="E43">
        <v>2025</v>
      </c>
      <c r="F43" t="s">
        <v>69</v>
      </c>
      <c r="G43" t="s">
        <v>67</v>
      </c>
      <c r="H43" t="s">
        <v>8</v>
      </c>
      <c r="I43" s="39" t="s">
        <v>1214</v>
      </c>
      <c r="J43" s="37" t="s">
        <v>1219</v>
      </c>
      <c r="K43" s="18">
        <f t="shared" si="0"/>
        <v>11047360</v>
      </c>
      <c r="L43" s="44">
        <v>90000</v>
      </c>
      <c r="M43" s="18">
        <f t="shared" si="1"/>
        <v>407238</v>
      </c>
      <c r="P43" s="18">
        <f t="shared" si="2"/>
        <v>11039171</v>
      </c>
      <c r="Q43" s="18">
        <f t="shared" si="14"/>
        <v>1487500</v>
      </c>
      <c r="R43" s="44">
        <v>1250000</v>
      </c>
      <c r="S43" s="18">
        <f t="shared" si="4"/>
        <v>0</v>
      </c>
      <c r="V43" s="18">
        <f t="shared" si="11"/>
        <v>0</v>
      </c>
      <c r="W43" s="18">
        <f t="shared" si="13"/>
        <v>0</v>
      </c>
      <c r="Y43" s="47">
        <f t="shared" si="7"/>
        <v>744573</v>
      </c>
      <c r="Z43" s="40">
        <f>VLOOKUP(D43,'Archivo con Bonos Ingresados '!V:CB,59,0)</f>
        <v>744573</v>
      </c>
      <c r="AA43" s="18">
        <f t="shared" si="8"/>
        <v>0</v>
      </c>
      <c r="AB43" s="18">
        <f t="shared" si="9"/>
        <v>6.7448271251527858</v>
      </c>
      <c r="AC43" t="s">
        <v>695</v>
      </c>
      <c r="AD43">
        <v>5938</v>
      </c>
      <c r="AE43">
        <v>76257832</v>
      </c>
      <c r="AF43" t="s">
        <v>537</v>
      </c>
      <c r="AG43" t="s">
        <v>538</v>
      </c>
      <c r="AH43" t="s">
        <v>426</v>
      </c>
      <c r="AI43" t="s">
        <v>539</v>
      </c>
      <c r="AJ43" t="s">
        <v>426</v>
      </c>
      <c r="AK43" t="s">
        <v>540</v>
      </c>
      <c r="AL43" t="s">
        <v>475</v>
      </c>
      <c r="AM43" t="s">
        <v>541</v>
      </c>
      <c r="AN43" t="s">
        <v>426</v>
      </c>
      <c r="AO43" t="s">
        <v>490</v>
      </c>
      <c r="AP43" t="s">
        <v>491</v>
      </c>
      <c r="AQ43" t="s">
        <v>492</v>
      </c>
      <c r="AR43" t="s">
        <v>7</v>
      </c>
      <c r="AS43" t="s">
        <v>69</v>
      </c>
      <c r="AT43" t="s">
        <v>69</v>
      </c>
      <c r="AU43" t="s">
        <v>433</v>
      </c>
      <c r="AV43" t="s">
        <v>584</v>
      </c>
      <c r="AW43">
        <v>19906</v>
      </c>
      <c r="AX43" t="s">
        <v>696</v>
      </c>
      <c r="AY43" t="s">
        <v>426</v>
      </c>
      <c r="AZ43" t="s">
        <v>697</v>
      </c>
      <c r="BA43">
        <v>11047360</v>
      </c>
      <c r="BB43" t="s">
        <v>696</v>
      </c>
      <c r="BC43" t="s">
        <v>426</v>
      </c>
      <c r="BD43">
        <v>0</v>
      </c>
      <c r="BE43" t="s">
        <v>437</v>
      </c>
      <c r="BF43" t="s">
        <v>696</v>
      </c>
      <c r="BG43" t="s">
        <v>481</v>
      </c>
      <c r="BH43" t="s">
        <v>439</v>
      </c>
      <c r="BI43" t="s">
        <v>426</v>
      </c>
      <c r="BJ43">
        <v>98</v>
      </c>
      <c r="BK43">
        <v>12640000</v>
      </c>
      <c r="BL43">
        <v>-1250000</v>
      </c>
      <c r="BM43">
        <v>-758067</v>
      </c>
      <c r="BN43">
        <v>10631933</v>
      </c>
      <c r="BO43">
        <v>11047360</v>
      </c>
      <c r="BP43">
        <v>-415427</v>
      </c>
      <c r="BQ43" t="s">
        <v>674</v>
      </c>
      <c r="BR43">
        <v>0</v>
      </c>
      <c r="BS43">
        <v>407238</v>
      </c>
      <c r="BT43">
        <v>407238</v>
      </c>
      <c r="BU43">
        <v>0</v>
      </c>
      <c r="BV43" t="s">
        <v>441</v>
      </c>
      <c r="BW43">
        <v>0</v>
      </c>
      <c r="BX43">
        <v>0</v>
      </c>
      <c r="BY43">
        <v>0</v>
      </c>
      <c r="BZ43">
        <v>0</v>
      </c>
      <c r="CA43" t="s">
        <v>441</v>
      </c>
      <c r="CB43">
        <v>0</v>
      </c>
      <c r="CC43">
        <v>0</v>
      </c>
      <c r="CD43">
        <v>0</v>
      </c>
      <c r="CE43">
        <v>0</v>
      </c>
      <c r="CF43" t="s">
        <v>441</v>
      </c>
      <c r="CG43">
        <v>11390000</v>
      </c>
      <c r="CH43">
        <v>11039171</v>
      </c>
      <c r="CI43">
        <v>11454598</v>
      </c>
      <c r="CJ43">
        <v>-415427</v>
      </c>
      <c r="CK43" t="s">
        <v>698</v>
      </c>
      <c r="CL43">
        <v>-415427</v>
      </c>
      <c r="CM43" t="s">
        <v>698</v>
      </c>
      <c r="CN43">
        <v>0</v>
      </c>
      <c r="CO43">
        <v>0</v>
      </c>
      <c r="CP43">
        <v>13059238</v>
      </c>
      <c r="CQ43">
        <v>0</v>
      </c>
      <c r="CR43">
        <v>407238</v>
      </c>
      <c r="CS43">
        <v>0</v>
      </c>
      <c r="CT43">
        <v>13059238</v>
      </c>
      <c r="CU43">
        <v>11039171</v>
      </c>
      <c r="CV43" s="2">
        <v>-415427</v>
      </c>
      <c r="CW43" t="s">
        <v>698</v>
      </c>
      <c r="CX43" t="s">
        <v>426</v>
      </c>
      <c r="CY43">
        <v>0</v>
      </c>
      <c r="CZ43" t="s">
        <v>426</v>
      </c>
      <c r="DA43">
        <v>0</v>
      </c>
      <c r="DB43">
        <v>0</v>
      </c>
      <c r="DC43">
        <v>0</v>
      </c>
      <c r="DD43" t="s">
        <v>426</v>
      </c>
    </row>
    <row r="44" spans="1:108">
      <c r="A44" t="s">
        <v>32</v>
      </c>
      <c r="B44" t="s">
        <v>36</v>
      </c>
      <c r="C44" t="s">
        <v>45</v>
      </c>
      <c r="D44" t="s">
        <v>189</v>
      </c>
      <c r="E44">
        <v>2025</v>
      </c>
      <c r="F44" t="s">
        <v>190</v>
      </c>
      <c r="G44" t="s">
        <v>188</v>
      </c>
      <c r="H44" t="s">
        <v>43</v>
      </c>
      <c r="I44" s="37" t="s">
        <v>1214</v>
      </c>
      <c r="J44" s="37" t="s">
        <v>1219</v>
      </c>
      <c r="K44" s="18">
        <f t="shared" si="0"/>
        <v>19862800</v>
      </c>
      <c r="L44" s="44">
        <v>235000</v>
      </c>
      <c r="M44" s="18">
        <f t="shared" si="1"/>
        <v>633536</v>
      </c>
      <c r="P44" s="18">
        <f t="shared" si="2"/>
        <v>20859936</v>
      </c>
      <c r="Q44" s="18">
        <f t="shared" si="14"/>
        <v>595000</v>
      </c>
      <c r="R44" s="44">
        <v>500000</v>
      </c>
      <c r="S44" s="18">
        <f t="shared" si="4"/>
        <v>0</v>
      </c>
      <c r="V44" s="18">
        <f t="shared" si="11"/>
        <v>0</v>
      </c>
      <c r="W44" s="18">
        <f t="shared" si="13"/>
        <v>0</v>
      </c>
      <c r="Y44" s="47">
        <f t="shared" si="7"/>
        <v>628600</v>
      </c>
      <c r="Z44" s="40">
        <f>VLOOKUP(D44,'Archivo con Bonos Ingresados '!V:CB,59,0)</f>
        <v>628600</v>
      </c>
      <c r="AA44" s="18">
        <f t="shared" si="8"/>
        <v>0</v>
      </c>
      <c r="AB44" s="18">
        <f t="shared" si="9"/>
        <v>3.0134320642210981</v>
      </c>
      <c r="AC44" t="s">
        <v>822</v>
      </c>
      <c r="AD44">
        <v>5901</v>
      </c>
      <c r="AE44">
        <v>77722252</v>
      </c>
      <c r="AF44" t="s">
        <v>444</v>
      </c>
      <c r="AG44" t="s">
        <v>823</v>
      </c>
      <c r="AH44" t="s">
        <v>426</v>
      </c>
      <c r="AI44" t="s">
        <v>824</v>
      </c>
      <c r="AJ44" t="s">
        <v>426</v>
      </c>
      <c r="AK44" t="s">
        <v>488</v>
      </c>
      <c r="AL44" t="s">
        <v>825</v>
      </c>
      <c r="AM44" t="s">
        <v>826</v>
      </c>
      <c r="AP44" t="s">
        <v>787</v>
      </c>
      <c r="AQ44" t="s">
        <v>45</v>
      </c>
      <c r="AR44" t="s">
        <v>38</v>
      </c>
      <c r="AS44" t="s">
        <v>190</v>
      </c>
      <c r="AT44" t="s">
        <v>190</v>
      </c>
      <c r="AU44" t="s">
        <v>433</v>
      </c>
      <c r="AV44" t="s">
        <v>584</v>
      </c>
      <c r="AW44">
        <v>19891</v>
      </c>
      <c r="AX44" t="s">
        <v>828</v>
      </c>
      <c r="AY44" t="s">
        <v>426</v>
      </c>
      <c r="AZ44" t="s">
        <v>829</v>
      </c>
      <c r="BA44">
        <v>19862800</v>
      </c>
      <c r="BB44" t="s">
        <v>830</v>
      </c>
      <c r="BD44">
        <v>0</v>
      </c>
      <c r="BE44" t="s">
        <v>543</v>
      </c>
      <c r="BF44" t="s">
        <v>830</v>
      </c>
      <c r="BG44" t="s">
        <v>481</v>
      </c>
      <c r="BH44" t="s">
        <v>439</v>
      </c>
      <c r="BI44" t="s">
        <v>426</v>
      </c>
      <c r="BJ44">
        <v>16</v>
      </c>
      <c r="BK44">
        <v>21290000</v>
      </c>
      <c r="BL44">
        <v>-500000</v>
      </c>
      <c r="BM44">
        <v>-863600</v>
      </c>
      <c r="BN44">
        <v>20226400</v>
      </c>
      <c r="BO44">
        <v>19862800</v>
      </c>
      <c r="BP44">
        <v>363600</v>
      </c>
      <c r="BQ44" t="s">
        <v>831</v>
      </c>
      <c r="BR44">
        <v>0</v>
      </c>
      <c r="BS44">
        <v>633536</v>
      </c>
      <c r="BT44">
        <v>633536</v>
      </c>
      <c r="BU44">
        <v>0</v>
      </c>
      <c r="BV44" t="s">
        <v>441</v>
      </c>
      <c r="BW44">
        <v>0</v>
      </c>
      <c r="BX44">
        <v>0</v>
      </c>
      <c r="BY44">
        <v>0</v>
      </c>
      <c r="BZ44">
        <v>0</v>
      </c>
      <c r="CA44" t="s">
        <v>441</v>
      </c>
      <c r="CB44">
        <v>0</v>
      </c>
      <c r="CC44">
        <v>0</v>
      </c>
      <c r="CD44">
        <v>0</v>
      </c>
      <c r="CE44">
        <v>0</v>
      </c>
      <c r="CF44" t="s">
        <v>441</v>
      </c>
      <c r="CG44">
        <v>20790000</v>
      </c>
      <c r="CH44">
        <v>20859936</v>
      </c>
      <c r="CI44">
        <v>20496336</v>
      </c>
      <c r="CJ44">
        <v>363600</v>
      </c>
      <c r="CK44" t="s">
        <v>832</v>
      </c>
      <c r="CL44">
        <v>363600</v>
      </c>
      <c r="CM44" t="s">
        <v>832</v>
      </c>
      <c r="CN44">
        <v>0</v>
      </c>
      <c r="CO44">
        <v>0</v>
      </c>
      <c r="CP44">
        <v>24702952</v>
      </c>
      <c r="CQ44">
        <v>0</v>
      </c>
      <c r="CR44">
        <v>633536</v>
      </c>
      <c r="CS44">
        <v>0</v>
      </c>
      <c r="CT44">
        <v>24702952</v>
      </c>
      <c r="CU44">
        <v>20859936</v>
      </c>
      <c r="CV44" s="2">
        <v>363600</v>
      </c>
      <c r="CW44" t="s">
        <v>832</v>
      </c>
      <c r="CX44" t="s">
        <v>426</v>
      </c>
      <c r="CY44">
        <v>0</v>
      </c>
      <c r="CZ44" t="s">
        <v>426</v>
      </c>
      <c r="DA44">
        <v>0</v>
      </c>
      <c r="DB44">
        <v>0</v>
      </c>
      <c r="DC44">
        <v>0</v>
      </c>
      <c r="DD44" t="s">
        <v>426</v>
      </c>
    </row>
    <row r="45" spans="1:108">
      <c r="A45" t="s">
        <v>4</v>
      </c>
      <c r="B45" t="s">
        <v>6</v>
      </c>
      <c r="C45" t="s">
        <v>81</v>
      </c>
      <c r="D45" t="s">
        <v>82</v>
      </c>
      <c r="E45">
        <v>2024</v>
      </c>
      <c r="F45" t="s">
        <v>83</v>
      </c>
      <c r="G45" t="s">
        <v>80</v>
      </c>
      <c r="H45" t="s">
        <v>30</v>
      </c>
      <c r="I45" s="37" t="s">
        <v>1215</v>
      </c>
      <c r="J45" s="37" t="s">
        <v>1219</v>
      </c>
      <c r="K45" s="18">
        <f t="shared" si="0"/>
        <v>14445294</v>
      </c>
      <c r="L45" s="44">
        <v>75000</v>
      </c>
      <c r="M45" s="18">
        <f t="shared" si="1"/>
        <v>326936</v>
      </c>
      <c r="P45" s="18">
        <f t="shared" si="2"/>
        <v>11808502</v>
      </c>
      <c r="Q45" s="18">
        <f t="shared" si="14"/>
        <v>1133400.03</v>
      </c>
      <c r="R45" s="44">
        <v>952437</v>
      </c>
      <c r="S45" s="18">
        <f t="shared" si="4"/>
        <v>0</v>
      </c>
      <c r="V45" s="18">
        <f t="shared" si="11"/>
        <v>0</v>
      </c>
      <c r="W45" s="18">
        <f t="shared" si="13"/>
        <v>0</v>
      </c>
      <c r="Y45" s="18">
        <f t="shared" si="7"/>
        <v>-2086291</v>
      </c>
      <c r="Z45" s="40">
        <f>VLOOKUP(D45,'Archivo con Bonos Ingresados '!V:CB,59,0)</f>
        <v>-2086291</v>
      </c>
      <c r="AA45" s="18">
        <f t="shared" si="8"/>
        <v>0</v>
      </c>
      <c r="AB45" s="18">
        <f t="shared" si="9"/>
        <v>-17.667702474031</v>
      </c>
      <c r="AC45" t="s">
        <v>683</v>
      </c>
      <c r="AD45">
        <v>5937</v>
      </c>
      <c r="AE45">
        <v>5388894</v>
      </c>
      <c r="AF45" t="s">
        <v>503</v>
      </c>
      <c r="AG45" t="s">
        <v>684</v>
      </c>
      <c r="AH45" t="s">
        <v>685</v>
      </c>
      <c r="AI45" t="s">
        <v>426</v>
      </c>
      <c r="AJ45" t="s">
        <v>426</v>
      </c>
      <c r="AK45" t="s">
        <v>603</v>
      </c>
      <c r="AL45" t="s">
        <v>686</v>
      </c>
      <c r="AM45" t="s">
        <v>687</v>
      </c>
      <c r="AN45" t="s">
        <v>426</v>
      </c>
      <c r="AO45" t="s">
        <v>509</v>
      </c>
      <c r="AP45" t="s">
        <v>688</v>
      </c>
      <c r="AQ45" t="s">
        <v>689</v>
      </c>
      <c r="AR45" t="s">
        <v>11</v>
      </c>
      <c r="AS45" t="s">
        <v>83</v>
      </c>
      <c r="AT45" t="s">
        <v>83</v>
      </c>
      <c r="AU45" t="s">
        <v>433</v>
      </c>
      <c r="AV45" t="s">
        <v>434</v>
      </c>
      <c r="AW45">
        <v>19888</v>
      </c>
      <c r="AX45" t="s">
        <v>690</v>
      </c>
      <c r="AY45" t="s">
        <v>426</v>
      </c>
      <c r="AZ45" t="s">
        <v>691</v>
      </c>
      <c r="BA45">
        <v>14445294</v>
      </c>
      <c r="BB45" t="s">
        <v>690</v>
      </c>
      <c r="BC45" t="s">
        <v>426</v>
      </c>
      <c r="BD45">
        <v>0</v>
      </c>
      <c r="BE45" t="s">
        <v>533</v>
      </c>
      <c r="BF45" t="s">
        <v>690</v>
      </c>
      <c r="BG45" t="s">
        <v>438</v>
      </c>
      <c r="BH45" t="s">
        <v>439</v>
      </c>
      <c r="BI45" t="s">
        <v>692</v>
      </c>
      <c r="BJ45">
        <v>414</v>
      </c>
      <c r="BK45">
        <v>15873950</v>
      </c>
      <c r="BL45">
        <v>-4117647</v>
      </c>
      <c r="BM45">
        <v>-274736</v>
      </c>
      <c r="BN45">
        <v>11481566</v>
      </c>
      <c r="BO45">
        <v>14445294</v>
      </c>
      <c r="BP45">
        <v>-2963728</v>
      </c>
      <c r="BQ45" t="s">
        <v>693</v>
      </c>
      <c r="BR45">
        <v>0</v>
      </c>
      <c r="BS45">
        <v>326936</v>
      </c>
      <c r="BT45">
        <v>326936</v>
      </c>
      <c r="BU45">
        <v>0</v>
      </c>
      <c r="BV45" t="s">
        <v>441</v>
      </c>
      <c r="BW45">
        <v>0</v>
      </c>
      <c r="BX45">
        <v>0</v>
      </c>
      <c r="BY45">
        <v>0</v>
      </c>
      <c r="BZ45">
        <v>0</v>
      </c>
      <c r="CA45" t="s">
        <v>441</v>
      </c>
      <c r="CB45">
        <v>0</v>
      </c>
      <c r="CC45">
        <v>0</v>
      </c>
      <c r="CD45">
        <v>0</v>
      </c>
      <c r="CE45">
        <v>0</v>
      </c>
      <c r="CF45" t="s">
        <v>441</v>
      </c>
      <c r="CG45">
        <v>11756303</v>
      </c>
      <c r="CH45">
        <v>11808502</v>
      </c>
      <c r="CI45">
        <v>14772230</v>
      </c>
      <c r="CJ45">
        <v>-2963728</v>
      </c>
      <c r="CK45" t="s">
        <v>694</v>
      </c>
      <c r="CL45">
        <v>-2963728</v>
      </c>
      <c r="CM45" t="s">
        <v>694</v>
      </c>
      <c r="CN45">
        <v>0</v>
      </c>
      <c r="CO45">
        <v>2200000</v>
      </c>
      <c r="CP45">
        <v>11790000</v>
      </c>
      <c r="CQ45">
        <v>0</v>
      </c>
      <c r="CR45">
        <v>326936</v>
      </c>
      <c r="CS45">
        <v>0</v>
      </c>
      <c r="CT45">
        <v>13990000</v>
      </c>
      <c r="CU45">
        <v>11808502</v>
      </c>
      <c r="CV45" s="2">
        <v>-2963728</v>
      </c>
      <c r="CW45" t="s">
        <v>694</v>
      </c>
      <c r="CX45" t="s">
        <v>426</v>
      </c>
      <c r="CY45">
        <v>0</v>
      </c>
      <c r="CZ45" t="s">
        <v>426</v>
      </c>
      <c r="DA45">
        <v>0</v>
      </c>
      <c r="DB45">
        <v>0</v>
      </c>
      <c r="DC45">
        <v>0</v>
      </c>
      <c r="DD45" t="s">
        <v>426</v>
      </c>
    </row>
    <row r="46" spans="1:108">
      <c r="A46" t="s">
        <v>4</v>
      </c>
      <c r="B46" t="s">
        <v>6</v>
      </c>
      <c r="C46" t="s">
        <v>71</v>
      </c>
      <c r="D46" t="s">
        <v>136</v>
      </c>
      <c r="E46">
        <v>2025</v>
      </c>
      <c r="F46" t="s">
        <v>137</v>
      </c>
      <c r="G46" t="s">
        <v>135</v>
      </c>
      <c r="H46" t="s">
        <v>5</v>
      </c>
      <c r="I46" s="39" t="s">
        <v>1214</v>
      </c>
      <c r="J46" s="37" t="s">
        <v>1219</v>
      </c>
      <c r="K46" s="18">
        <f t="shared" si="0"/>
        <v>12096160</v>
      </c>
      <c r="L46" s="44">
        <v>90000</v>
      </c>
      <c r="M46" s="18">
        <f t="shared" si="1"/>
        <v>441686</v>
      </c>
      <c r="P46" s="18">
        <f t="shared" si="2"/>
        <v>12931686</v>
      </c>
      <c r="Q46" s="42">
        <f t="shared" si="14"/>
        <v>1606500</v>
      </c>
      <c r="R46" s="45">
        <v>1350000</v>
      </c>
      <c r="S46" s="18">
        <f t="shared" si="4"/>
        <v>0</v>
      </c>
      <c r="V46" s="18">
        <f t="shared" si="11"/>
        <v>0</v>
      </c>
      <c r="W46" s="18">
        <f t="shared" si="13"/>
        <v>0</v>
      </c>
      <c r="Y46" s="47">
        <f t="shared" si="7"/>
        <v>1653840</v>
      </c>
      <c r="Z46" s="40">
        <f>VLOOKUP(D46,'Archivo con Bonos Ingresados '!V:CB,59,0)</f>
        <v>1653840</v>
      </c>
      <c r="AA46" s="18">
        <f t="shared" si="8"/>
        <v>0</v>
      </c>
      <c r="AB46" s="18">
        <f t="shared" si="9"/>
        <v>12.78905163642235</v>
      </c>
      <c r="AC46" t="s">
        <v>637</v>
      </c>
      <c r="AD46">
        <v>5922</v>
      </c>
      <c r="AE46">
        <v>76101208</v>
      </c>
      <c r="AF46" t="s">
        <v>537</v>
      </c>
      <c r="AG46" t="s">
        <v>638</v>
      </c>
      <c r="AH46" t="s">
        <v>426</v>
      </c>
      <c r="AI46" t="s">
        <v>639</v>
      </c>
      <c r="AJ46" t="s">
        <v>639</v>
      </c>
      <c r="AK46" t="s">
        <v>474</v>
      </c>
      <c r="AL46" t="s">
        <v>640</v>
      </c>
      <c r="AM46" t="s">
        <v>641</v>
      </c>
      <c r="AN46" t="s">
        <v>426</v>
      </c>
      <c r="AO46" t="s">
        <v>490</v>
      </c>
      <c r="AP46" t="s">
        <v>491</v>
      </c>
      <c r="AQ46" t="s">
        <v>642</v>
      </c>
      <c r="AR46" t="s">
        <v>13</v>
      </c>
      <c r="AS46" t="s">
        <v>137</v>
      </c>
      <c r="AT46" t="s">
        <v>137</v>
      </c>
      <c r="AU46" t="s">
        <v>433</v>
      </c>
      <c r="AV46" t="s">
        <v>434</v>
      </c>
      <c r="AW46">
        <v>19856</v>
      </c>
      <c r="AX46" t="s">
        <v>493</v>
      </c>
      <c r="AY46" t="s">
        <v>426</v>
      </c>
      <c r="AZ46" t="s">
        <v>643</v>
      </c>
      <c r="BA46">
        <v>12096160</v>
      </c>
      <c r="BB46" t="s">
        <v>493</v>
      </c>
      <c r="BC46" t="s">
        <v>426</v>
      </c>
      <c r="BD46">
        <v>0</v>
      </c>
      <c r="BE46" t="s">
        <v>437</v>
      </c>
      <c r="BF46" t="s">
        <v>493</v>
      </c>
      <c r="BG46" t="s">
        <v>499</v>
      </c>
      <c r="BH46" t="s">
        <v>439</v>
      </c>
      <c r="BI46" t="s">
        <v>426</v>
      </c>
      <c r="BJ46">
        <v>0</v>
      </c>
      <c r="BK46">
        <v>13840000</v>
      </c>
      <c r="BL46">
        <v>-1350000</v>
      </c>
      <c r="BM46">
        <v>0</v>
      </c>
      <c r="BN46">
        <v>12490000</v>
      </c>
      <c r="BO46">
        <v>10746160</v>
      </c>
      <c r="BP46">
        <v>1743840</v>
      </c>
      <c r="BQ46" t="s">
        <v>644</v>
      </c>
      <c r="BR46">
        <v>0</v>
      </c>
      <c r="BS46">
        <v>441686</v>
      </c>
      <c r="BT46">
        <v>441686</v>
      </c>
      <c r="BU46">
        <v>0</v>
      </c>
      <c r="BV46" t="s">
        <v>441</v>
      </c>
      <c r="BW46">
        <v>0</v>
      </c>
      <c r="BX46">
        <v>0</v>
      </c>
      <c r="BY46">
        <v>0</v>
      </c>
      <c r="BZ46">
        <v>0</v>
      </c>
      <c r="CA46" t="s">
        <v>441</v>
      </c>
      <c r="CB46">
        <v>0</v>
      </c>
      <c r="CC46">
        <v>0</v>
      </c>
      <c r="CD46">
        <v>0</v>
      </c>
      <c r="CE46">
        <v>0</v>
      </c>
      <c r="CF46" t="s">
        <v>441</v>
      </c>
      <c r="CG46">
        <v>12490000</v>
      </c>
      <c r="CH46">
        <v>12931686</v>
      </c>
      <c r="CI46">
        <v>11187846</v>
      </c>
      <c r="CJ46">
        <v>1743840</v>
      </c>
      <c r="CK46" t="s">
        <v>645</v>
      </c>
      <c r="CL46">
        <v>1743840</v>
      </c>
      <c r="CM46" t="s">
        <v>645</v>
      </c>
      <c r="CN46">
        <v>0</v>
      </c>
      <c r="CO46">
        <v>0</v>
      </c>
      <c r="CP46">
        <v>15304786</v>
      </c>
      <c r="CQ46">
        <v>0</v>
      </c>
      <c r="CR46">
        <v>441686</v>
      </c>
      <c r="CS46">
        <v>0</v>
      </c>
      <c r="CT46">
        <v>15304786</v>
      </c>
      <c r="CU46">
        <v>12931686</v>
      </c>
      <c r="CV46" s="2">
        <v>1743840</v>
      </c>
      <c r="CW46" t="s">
        <v>645</v>
      </c>
      <c r="CX46" t="s">
        <v>426</v>
      </c>
      <c r="CY46">
        <v>0</v>
      </c>
      <c r="CZ46" t="s">
        <v>426</v>
      </c>
      <c r="DA46">
        <v>0</v>
      </c>
      <c r="DB46">
        <v>1606500</v>
      </c>
      <c r="DC46">
        <v>0</v>
      </c>
      <c r="DD46" t="s">
        <v>426</v>
      </c>
    </row>
    <row r="47" spans="1:108">
      <c r="A47" t="s">
        <v>32</v>
      </c>
      <c r="B47" t="s">
        <v>36</v>
      </c>
      <c r="C47" t="s">
        <v>37</v>
      </c>
      <c r="D47" t="s">
        <v>41</v>
      </c>
      <c r="E47">
        <v>2025</v>
      </c>
      <c r="F47" t="s">
        <v>42</v>
      </c>
      <c r="G47" t="s">
        <v>40</v>
      </c>
      <c r="H47" t="s">
        <v>30</v>
      </c>
      <c r="I47" s="37" t="s">
        <v>1214</v>
      </c>
      <c r="J47" s="37" t="s">
        <v>1219</v>
      </c>
      <c r="K47" s="18">
        <f t="shared" si="0"/>
        <v>18978600</v>
      </c>
      <c r="L47" s="44">
        <v>235000</v>
      </c>
      <c r="M47" s="18">
        <f t="shared" si="1"/>
        <v>0</v>
      </c>
      <c r="P47" s="18">
        <f t="shared" si="2"/>
        <v>18170966</v>
      </c>
      <c r="Q47" s="18">
        <f t="shared" si="14"/>
        <v>1801957.5</v>
      </c>
      <c r="R47" s="44">
        <v>1514250</v>
      </c>
      <c r="S47" s="18">
        <f t="shared" si="4"/>
        <v>0</v>
      </c>
      <c r="V47" s="18">
        <f t="shared" si="11"/>
        <v>0</v>
      </c>
      <c r="W47" s="18">
        <f t="shared" si="13"/>
        <v>0</v>
      </c>
      <c r="Y47" s="47">
        <f t="shared" si="7"/>
        <v>471616</v>
      </c>
      <c r="Z47" s="40">
        <f>VLOOKUP(D47,'Archivo con Bonos Ingresados '!V:CB,59,0)</f>
        <v>471616</v>
      </c>
      <c r="AA47" s="18">
        <f t="shared" si="8"/>
        <v>0</v>
      </c>
      <c r="AB47" s="18">
        <f t="shared" si="9"/>
        <v>2.5954371385648951</v>
      </c>
      <c r="AC47" t="s">
        <v>788</v>
      </c>
      <c r="AD47">
        <v>5810</v>
      </c>
      <c r="AE47">
        <v>76009782</v>
      </c>
      <c r="AF47" t="s">
        <v>760</v>
      </c>
      <c r="AG47" t="s">
        <v>789</v>
      </c>
      <c r="AH47" t="s">
        <v>790</v>
      </c>
      <c r="AI47" t="s">
        <v>791</v>
      </c>
      <c r="AJ47" t="s">
        <v>426</v>
      </c>
      <c r="AK47" t="s">
        <v>792</v>
      </c>
      <c r="AL47" t="s">
        <v>793</v>
      </c>
      <c r="AM47" t="s">
        <v>794</v>
      </c>
      <c r="AP47" t="s">
        <v>787</v>
      </c>
      <c r="AQ47" t="s">
        <v>37</v>
      </c>
      <c r="AR47" t="s">
        <v>39</v>
      </c>
      <c r="AS47" t="s">
        <v>42</v>
      </c>
      <c r="AT47" t="s">
        <v>42</v>
      </c>
      <c r="AU47" t="s">
        <v>433</v>
      </c>
      <c r="AV47" t="s">
        <v>434</v>
      </c>
      <c r="AW47">
        <v>19896</v>
      </c>
      <c r="AX47" t="s">
        <v>562</v>
      </c>
      <c r="AY47" t="s">
        <v>426</v>
      </c>
      <c r="AZ47" t="s">
        <v>796</v>
      </c>
      <c r="BA47">
        <v>18978600</v>
      </c>
      <c r="BB47" t="s">
        <v>564</v>
      </c>
      <c r="BD47">
        <v>0</v>
      </c>
      <c r="BE47" t="s">
        <v>426</v>
      </c>
      <c r="BF47" t="s">
        <v>564</v>
      </c>
      <c r="BG47" t="s">
        <v>454</v>
      </c>
      <c r="BH47" t="s">
        <v>439</v>
      </c>
      <c r="BI47" t="s">
        <v>426</v>
      </c>
      <c r="BJ47">
        <v>52</v>
      </c>
      <c r="BK47">
        <v>20190000</v>
      </c>
      <c r="BL47">
        <v>-2019034</v>
      </c>
      <c r="BM47">
        <v>0</v>
      </c>
      <c r="BN47">
        <v>18170966</v>
      </c>
      <c r="BO47">
        <v>17464350</v>
      </c>
      <c r="BP47">
        <v>706616</v>
      </c>
      <c r="BQ47" t="s">
        <v>797</v>
      </c>
      <c r="BR47">
        <v>0</v>
      </c>
      <c r="BS47">
        <v>0</v>
      </c>
      <c r="BT47">
        <v>0</v>
      </c>
      <c r="BU47">
        <v>0</v>
      </c>
      <c r="BV47" t="s">
        <v>441</v>
      </c>
      <c r="BW47">
        <v>0</v>
      </c>
      <c r="BX47">
        <v>0</v>
      </c>
      <c r="BY47">
        <v>0</v>
      </c>
      <c r="BZ47">
        <v>0</v>
      </c>
      <c r="CA47" t="s">
        <v>441</v>
      </c>
      <c r="CB47">
        <v>0</v>
      </c>
      <c r="CC47">
        <v>0</v>
      </c>
      <c r="CD47">
        <v>0</v>
      </c>
      <c r="CE47">
        <v>0</v>
      </c>
      <c r="CF47" t="s">
        <v>441</v>
      </c>
      <c r="CG47">
        <v>18170966</v>
      </c>
      <c r="CH47">
        <v>18170966</v>
      </c>
      <c r="CI47">
        <v>17699350</v>
      </c>
      <c r="CJ47">
        <v>471616</v>
      </c>
      <c r="CK47" t="s">
        <v>798</v>
      </c>
      <c r="CL47">
        <v>471616</v>
      </c>
      <c r="CM47" t="s">
        <v>798</v>
      </c>
      <c r="CN47">
        <v>0</v>
      </c>
      <c r="CO47">
        <v>0</v>
      </c>
      <c r="CP47">
        <v>21623450</v>
      </c>
      <c r="CQ47">
        <v>0</v>
      </c>
      <c r="CR47">
        <v>0</v>
      </c>
      <c r="CS47">
        <v>0</v>
      </c>
      <c r="CT47">
        <v>21623450</v>
      </c>
      <c r="CU47">
        <v>18170966</v>
      </c>
      <c r="CV47" s="2">
        <v>471616</v>
      </c>
      <c r="CW47" t="s">
        <v>798</v>
      </c>
      <c r="CX47" t="s">
        <v>426</v>
      </c>
      <c r="CY47">
        <v>0</v>
      </c>
      <c r="CZ47" t="s">
        <v>426</v>
      </c>
      <c r="DA47">
        <v>0</v>
      </c>
      <c r="DB47">
        <v>1801958</v>
      </c>
      <c r="DC47">
        <v>235000</v>
      </c>
      <c r="DD47" t="s">
        <v>426</v>
      </c>
    </row>
    <row r="48" spans="1:108">
      <c r="A48" t="s">
        <v>4</v>
      </c>
      <c r="B48" t="s">
        <v>6</v>
      </c>
      <c r="C48" t="s">
        <v>152</v>
      </c>
      <c r="D48" t="s">
        <v>153</v>
      </c>
      <c r="E48">
        <v>2025</v>
      </c>
      <c r="F48" t="s">
        <v>154</v>
      </c>
      <c r="G48" t="s">
        <v>151</v>
      </c>
      <c r="H48" t="s">
        <v>8</v>
      </c>
      <c r="I48" s="37" t="s">
        <v>1214</v>
      </c>
      <c r="J48" s="37" t="s">
        <v>1219</v>
      </c>
      <c r="K48" s="18">
        <f t="shared" si="0"/>
        <v>14888798</v>
      </c>
      <c r="L48" s="44">
        <v>145000</v>
      </c>
      <c r="M48" s="18">
        <f t="shared" si="1"/>
        <v>784550</v>
      </c>
      <c r="P48" s="18">
        <f t="shared" si="2"/>
        <v>14469802</v>
      </c>
      <c r="Q48" s="18">
        <f t="shared" si="14"/>
        <v>2700000.52</v>
      </c>
      <c r="R48" s="44">
        <f>1554622+714286</f>
        <v>2268908</v>
      </c>
      <c r="S48" s="18">
        <f t="shared" si="4"/>
        <v>0</v>
      </c>
      <c r="T48" s="42"/>
      <c r="V48" s="18">
        <f t="shared" si="11"/>
        <v>0</v>
      </c>
      <c r="W48" s="18">
        <f t="shared" si="13"/>
        <v>189900.19999999998</v>
      </c>
      <c r="X48" s="44">
        <v>159580</v>
      </c>
      <c r="Y48" s="54">
        <f t="shared" si="7"/>
        <v>1079942</v>
      </c>
      <c r="Z48" s="40">
        <f>VLOOKUP(D48,'Archivo con Bonos Ingresados '!V:CB,59,0)</f>
        <v>365656</v>
      </c>
      <c r="AA48" s="18">
        <f t="shared" si="8"/>
        <v>-714286</v>
      </c>
      <c r="AB48" s="18">
        <f t="shared" si="9"/>
        <v>7.4634193335886696</v>
      </c>
      <c r="AC48" t="s">
        <v>726</v>
      </c>
      <c r="AD48">
        <v>5950</v>
      </c>
      <c r="AE48">
        <v>17166024</v>
      </c>
      <c r="AF48" t="s">
        <v>458</v>
      </c>
      <c r="AG48" t="s">
        <v>727</v>
      </c>
      <c r="AH48" t="s">
        <v>426</v>
      </c>
      <c r="AI48" t="s">
        <v>728</v>
      </c>
      <c r="AJ48" t="s">
        <v>426</v>
      </c>
      <c r="AK48" t="s">
        <v>528</v>
      </c>
      <c r="AL48" t="s">
        <v>475</v>
      </c>
      <c r="AM48" t="s">
        <v>729</v>
      </c>
      <c r="AN48" t="s">
        <v>426</v>
      </c>
      <c r="AO48" t="s">
        <v>463</v>
      </c>
      <c r="AP48" t="s">
        <v>730</v>
      </c>
      <c r="AQ48" t="s">
        <v>731</v>
      </c>
      <c r="AR48" t="s">
        <v>11</v>
      </c>
      <c r="AS48" t="s">
        <v>154</v>
      </c>
      <c r="AT48" t="s">
        <v>426</v>
      </c>
      <c r="AU48" t="s">
        <v>433</v>
      </c>
      <c r="AV48" t="s">
        <v>434</v>
      </c>
      <c r="AW48">
        <v>19921</v>
      </c>
      <c r="AX48" t="s">
        <v>722</v>
      </c>
      <c r="AY48" t="s">
        <v>426</v>
      </c>
      <c r="AZ48" t="s">
        <v>732</v>
      </c>
      <c r="BA48">
        <v>14888798</v>
      </c>
      <c r="BB48" t="s">
        <v>722</v>
      </c>
      <c r="BC48" t="s">
        <v>426</v>
      </c>
      <c r="BD48">
        <v>0</v>
      </c>
      <c r="BE48" t="s">
        <v>565</v>
      </c>
      <c r="BF48" t="s">
        <v>722</v>
      </c>
      <c r="BG48" t="s">
        <v>481</v>
      </c>
      <c r="BH48" t="s">
        <v>439</v>
      </c>
      <c r="BI48" t="s">
        <v>426</v>
      </c>
      <c r="BJ48">
        <v>0</v>
      </c>
      <c r="BK48">
        <v>15537815</v>
      </c>
      <c r="BL48">
        <v>-1554622</v>
      </c>
      <c r="BM48">
        <v>-718109</v>
      </c>
      <c r="BN48">
        <v>13685252</v>
      </c>
      <c r="BO48">
        <v>14888798</v>
      </c>
      <c r="BP48">
        <v>-1203546</v>
      </c>
      <c r="BQ48" t="s">
        <v>733</v>
      </c>
      <c r="BR48">
        <v>0</v>
      </c>
      <c r="BS48">
        <v>784550</v>
      </c>
      <c r="BT48">
        <v>784550</v>
      </c>
      <c r="BU48">
        <v>0</v>
      </c>
      <c r="BV48" t="s">
        <v>441</v>
      </c>
      <c r="BW48">
        <v>0</v>
      </c>
      <c r="BX48">
        <v>0</v>
      </c>
      <c r="BY48">
        <v>0</v>
      </c>
      <c r="BZ48">
        <v>0</v>
      </c>
      <c r="CA48" t="s">
        <v>441</v>
      </c>
      <c r="CB48">
        <v>0</v>
      </c>
      <c r="CC48">
        <v>0</v>
      </c>
      <c r="CD48">
        <v>0</v>
      </c>
      <c r="CE48">
        <v>0</v>
      </c>
      <c r="CF48" t="s">
        <v>441</v>
      </c>
      <c r="CG48">
        <v>13983193</v>
      </c>
      <c r="CH48">
        <v>14469802</v>
      </c>
      <c r="CI48">
        <v>15673348</v>
      </c>
      <c r="CJ48">
        <v>-1203546</v>
      </c>
      <c r="CK48" t="s">
        <v>734</v>
      </c>
      <c r="CL48">
        <v>-1203546</v>
      </c>
      <c r="CM48" t="s">
        <v>734</v>
      </c>
      <c r="CN48">
        <v>0</v>
      </c>
      <c r="CO48">
        <v>0</v>
      </c>
      <c r="CP48">
        <v>17070000</v>
      </c>
      <c r="CQ48">
        <v>0</v>
      </c>
      <c r="CR48">
        <v>784550</v>
      </c>
      <c r="CS48">
        <v>0</v>
      </c>
      <c r="CT48">
        <v>17070000</v>
      </c>
      <c r="CU48">
        <v>14469802</v>
      </c>
      <c r="CV48" s="2">
        <v>-1203546</v>
      </c>
      <c r="CW48" t="s">
        <v>734</v>
      </c>
      <c r="CX48" t="s">
        <v>426</v>
      </c>
      <c r="CY48">
        <v>0</v>
      </c>
      <c r="CZ48" t="s">
        <v>426</v>
      </c>
      <c r="DA48">
        <v>0</v>
      </c>
      <c r="DB48">
        <v>0</v>
      </c>
      <c r="DC48">
        <v>0</v>
      </c>
      <c r="DD48" t="s">
        <v>426</v>
      </c>
    </row>
    <row r="49" spans="20:28">
      <c r="Y49" s="28">
        <f>SUM(Y2:Y48)</f>
        <v>33511098.357142858</v>
      </c>
      <c r="AA49" s="18">
        <f t="shared" si="8"/>
        <v>-33511098.357142858</v>
      </c>
    </row>
    <row r="50" spans="20:28" ht="15.75" thickBot="1"/>
    <row r="51" spans="20:28" ht="15.75" thickBot="1">
      <c r="T51" s="29"/>
      <c r="U51" s="30"/>
      <c r="V51" s="31" t="s">
        <v>1188</v>
      </c>
      <c r="W51" s="32" t="s">
        <v>1187</v>
      </c>
      <c r="Y51"/>
      <c r="Z51"/>
      <c r="AA51"/>
      <c r="AB51"/>
    </row>
    <row r="52" spans="20:28" ht="15.75" thickBot="1">
      <c r="T52" s="48" t="s">
        <v>1186</v>
      </c>
      <c r="U52" s="49"/>
      <c r="V52" s="31">
        <f>Hoja4!H56</f>
        <v>752916.91262975789</v>
      </c>
      <c r="W52" s="32">
        <f>Hoja4!H57</f>
        <v>25599175.029411767</v>
      </c>
      <c r="Y52"/>
      <c r="Z52"/>
      <c r="AA52"/>
      <c r="AB52"/>
    </row>
    <row r="53" spans="20:28" ht="15.75" thickBot="1">
      <c r="T53" s="50" t="s">
        <v>1211</v>
      </c>
      <c r="U53" s="51"/>
      <c r="V53" s="31"/>
      <c r="W53" s="33"/>
      <c r="Y53"/>
      <c r="Z53"/>
      <c r="AA53"/>
      <c r="AB53"/>
    </row>
    <row r="54" spans="20:28" ht="15.75" thickBot="1">
      <c r="T54" s="50" t="s">
        <v>1212</v>
      </c>
      <c r="U54" s="51"/>
      <c r="V54" s="31">
        <f>Hoja4!B51</f>
        <v>608609.48674854566</v>
      </c>
      <c r="W54" s="33">
        <f>Hoja4!B52</f>
        <v>7911923.3277310934</v>
      </c>
      <c r="Y54"/>
      <c r="Z54"/>
      <c r="AA54"/>
      <c r="AB54"/>
    </row>
    <row r="55" spans="20:28" ht="15.75" thickBot="1">
      <c r="T55" s="52" t="s">
        <v>1213</v>
      </c>
      <c r="U55" s="53"/>
      <c r="V55" s="31">
        <f>COUNTA(Y2:Y48)</f>
        <v>47</v>
      </c>
      <c r="W55" s="34"/>
      <c r="Y55"/>
      <c r="Z55"/>
      <c r="AA55"/>
      <c r="AB55"/>
    </row>
    <row r="56" spans="20:28" ht="15.75" thickBot="1">
      <c r="T56" s="35"/>
      <c r="U56" s="35"/>
      <c r="V56" s="35"/>
      <c r="W56" s="36">
        <f>SUM(W52:W54)</f>
        <v>33511098.357142858</v>
      </c>
      <c r="Y56"/>
      <c r="Z56"/>
      <c r="AA56"/>
      <c r="AB56"/>
    </row>
  </sheetData>
  <autoFilter ref="A1:DD49" xr:uid="{F9B75459-D30B-430C-9D96-41D1DF7CD484}"/>
  <mergeCells count="4">
    <mergeCell ref="T52:U52"/>
    <mergeCell ref="T53:U53"/>
    <mergeCell ref="T54:U54"/>
    <mergeCell ref="T55:U5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620B-AF57-4B2A-B1E1-FC382150C584}">
  <dimension ref="A1:CJ36"/>
  <sheetViews>
    <sheetView workbookViewId="0">
      <selection activeCell="E12" sqref="E12"/>
    </sheetView>
  </sheetViews>
  <sheetFormatPr baseColWidth="10" defaultRowHeight="15"/>
  <cols>
    <col min="1" max="1" width="20.85546875" bestFit="1" customWidth="1"/>
    <col min="2" max="2" width="29.7109375" bestFit="1" customWidth="1"/>
    <col min="3" max="3" width="18.140625" bestFit="1" customWidth="1"/>
    <col min="4" max="4" width="13.42578125" bestFit="1" customWidth="1"/>
    <col min="5" max="5" width="50.7109375" bestFit="1" customWidth="1"/>
    <col min="6" max="6" width="9" bestFit="1" customWidth="1"/>
    <col min="7" max="7" width="8.5703125" bestFit="1" customWidth="1"/>
    <col min="8" max="8" width="48.5703125" bestFit="1" customWidth="1"/>
    <col min="9" max="9" width="18" bestFit="1" customWidth="1"/>
    <col min="10" max="10" width="16.7109375" bestFit="1" customWidth="1"/>
    <col min="11" max="11" width="20.7109375" bestFit="1" customWidth="1"/>
    <col min="12" max="12" width="14.7109375" bestFit="1" customWidth="1"/>
    <col min="13" max="13" width="19.28515625" bestFit="1" customWidth="1"/>
    <col min="14" max="14" width="34.85546875" bestFit="1" customWidth="1"/>
    <col min="15" max="15" width="15.28515625" bestFit="1" customWidth="1"/>
    <col min="16" max="16" width="19" bestFit="1" customWidth="1"/>
    <col min="17" max="17" width="13.5703125" bestFit="1" customWidth="1"/>
    <col min="18" max="18" width="10.140625" bestFit="1" customWidth="1"/>
    <col min="19" max="19" width="43.5703125" bestFit="1" customWidth="1"/>
    <col min="20" max="20" width="16.7109375" bestFit="1" customWidth="1"/>
    <col min="21" max="21" width="22.85546875" bestFit="1" customWidth="1"/>
    <col min="22" max="22" width="16.42578125" bestFit="1" customWidth="1"/>
    <col min="23" max="24" width="20.42578125" bestFit="1" customWidth="1"/>
    <col min="25" max="25" width="20.28515625" bestFit="1" customWidth="1"/>
    <col min="26" max="26" width="16.5703125" bestFit="1" customWidth="1"/>
    <col min="27" max="27" width="6.85546875" bestFit="1" customWidth="1"/>
    <col min="28" max="28" width="15.85546875" bestFit="1" customWidth="1"/>
    <col min="29" max="29" width="18.42578125" bestFit="1" customWidth="1"/>
    <col min="30" max="30" width="19.140625" bestFit="1" customWidth="1"/>
    <col min="31" max="31" width="17.85546875" bestFit="1" customWidth="1"/>
    <col min="32" max="32" width="149.42578125" bestFit="1" customWidth="1"/>
    <col min="33" max="33" width="16.140625" bestFit="1" customWidth="1"/>
    <col min="34" max="34" width="21.7109375" bestFit="1" customWidth="1"/>
    <col min="35" max="35" width="21.85546875" bestFit="1" customWidth="1"/>
    <col min="36" max="36" width="7.7109375" bestFit="1" customWidth="1"/>
    <col min="37" max="37" width="20.5703125" bestFit="1" customWidth="1"/>
    <col min="38" max="38" width="25.7109375" bestFit="1" customWidth="1"/>
    <col min="39" max="39" width="12.85546875" bestFit="1" customWidth="1"/>
    <col min="40" max="40" width="16.28515625" bestFit="1" customWidth="1"/>
    <col min="41" max="41" width="15" bestFit="1" customWidth="1"/>
    <col min="42" max="42" width="12" bestFit="1" customWidth="1"/>
    <col min="43" max="43" width="13.28515625" bestFit="1" customWidth="1"/>
    <col min="44" max="44" width="18.42578125" bestFit="1" customWidth="1"/>
    <col min="45" max="45" width="19.5703125" bestFit="1" customWidth="1"/>
    <col min="46" max="46" width="15.28515625" bestFit="1" customWidth="1"/>
    <col min="47" max="47" width="15" bestFit="1" customWidth="1"/>
    <col min="48" max="48" width="16.7109375" bestFit="1" customWidth="1"/>
    <col min="49" max="49" width="8.28515625" bestFit="1" customWidth="1"/>
    <col min="50" max="50" width="29.140625" bestFit="1" customWidth="1"/>
    <col min="51" max="51" width="16.7109375" bestFit="1" customWidth="1"/>
    <col min="52" max="52" width="16.42578125" bestFit="1" customWidth="1"/>
    <col min="53" max="53" width="18.140625" bestFit="1" customWidth="1"/>
    <col min="54" max="54" width="5.85546875" bestFit="1" customWidth="1"/>
    <col min="55" max="55" width="30.85546875" bestFit="1" customWidth="1"/>
    <col min="56" max="56" width="18.5703125" bestFit="1" customWidth="1"/>
    <col min="57" max="57" width="18.140625" bestFit="1" customWidth="1"/>
    <col min="58" max="58" width="20" bestFit="1" customWidth="1"/>
    <col min="59" max="59" width="5.85546875" bestFit="1" customWidth="1"/>
    <col min="60" max="60" width="17.7109375" bestFit="1" customWidth="1"/>
    <col min="61" max="61" width="23.7109375" bestFit="1" customWidth="1"/>
    <col min="62" max="62" width="20.42578125" bestFit="1" customWidth="1"/>
    <col min="63" max="63" width="22.140625" bestFit="1" customWidth="1"/>
    <col min="64" max="64" width="22.42578125" bestFit="1" customWidth="1"/>
    <col min="65" max="65" width="18.140625" bestFit="1" customWidth="1"/>
    <col min="66" max="66" width="16.7109375" bestFit="1" customWidth="1"/>
    <col min="67" max="67" width="16.42578125" bestFit="1" customWidth="1"/>
    <col min="68" max="68" width="35.140625" bestFit="1" customWidth="1"/>
    <col min="69" max="69" width="8.28515625" bestFit="1" customWidth="1"/>
    <col min="70" max="70" width="22" bestFit="1" customWidth="1"/>
    <col min="71" max="71" width="35.140625" bestFit="1" customWidth="1"/>
    <col min="72" max="72" width="14.42578125" bestFit="1" customWidth="1"/>
    <col min="73" max="73" width="15" bestFit="1" customWidth="1"/>
    <col min="74" max="74" width="14" bestFit="1" customWidth="1"/>
    <col min="75" max="75" width="13" bestFit="1" customWidth="1"/>
    <col min="76" max="76" width="20.85546875" bestFit="1" customWidth="1"/>
    <col min="77" max="77" width="23.5703125" bestFit="1" customWidth="1"/>
    <col min="78" max="78" width="13.42578125" bestFit="1" customWidth="1"/>
    <col min="79" max="79" width="28.85546875" bestFit="1" customWidth="1"/>
    <col min="80" max="80" width="18.5703125" bestFit="1" customWidth="1"/>
    <col min="81" max="81" width="22.42578125" bestFit="1" customWidth="1"/>
    <col min="82" max="83" width="17" bestFit="1" customWidth="1"/>
    <col min="84" max="85" width="16.5703125" bestFit="1" customWidth="1"/>
    <col min="86" max="86" width="8" bestFit="1" customWidth="1"/>
    <col min="87" max="87" width="8.28515625" bestFit="1" customWidth="1"/>
    <col min="88" max="88" width="14.85546875" bestFit="1" customWidth="1"/>
  </cols>
  <sheetData>
    <row r="1" spans="1:88">
      <c r="A1" t="s">
        <v>0</v>
      </c>
      <c r="B1" t="s">
        <v>1</v>
      </c>
      <c r="C1" t="s">
        <v>338</v>
      </c>
      <c r="D1" t="s">
        <v>339</v>
      </c>
      <c r="E1" t="s">
        <v>2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349</v>
      </c>
      <c r="P1" t="s">
        <v>350</v>
      </c>
      <c r="Q1" t="s">
        <v>3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  <c r="AF1" t="s">
        <v>365</v>
      </c>
      <c r="AG1" t="s">
        <v>366</v>
      </c>
      <c r="AH1" t="s">
        <v>367</v>
      </c>
      <c r="AI1" t="s">
        <v>368</v>
      </c>
      <c r="AJ1" t="s">
        <v>369</v>
      </c>
      <c r="AK1" t="s">
        <v>370</v>
      </c>
      <c r="AL1" t="s">
        <v>371</v>
      </c>
      <c r="AM1" t="s">
        <v>372</v>
      </c>
      <c r="AN1" t="s">
        <v>373</v>
      </c>
      <c r="AO1" t="s">
        <v>374</v>
      </c>
      <c r="AP1" t="s">
        <v>375</v>
      </c>
      <c r="AQ1" t="s">
        <v>376</v>
      </c>
      <c r="AR1" t="s">
        <v>377</v>
      </c>
      <c r="AS1" t="s">
        <v>378</v>
      </c>
      <c r="AT1" t="s">
        <v>379</v>
      </c>
      <c r="AU1" t="s">
        <v>380</v>
      </c>
      <c r="AV1" t="s">
        <v>381</v>
      </c>
      <c r="AW1" t="s">
        <v>382</v>
      </c>
      <c r="AX1" t="s">
        <v>383</v>
      </c>
      <c r="AY1" t="s">
        <v>384</v>
      </c>
      <c r="AZ1" t="s">
        <v>385</v>
      </c>
      <c r="BA1" t="s">
        <v>386</v>
      </c>
      <c r="BB1" t="s">
        <v>387</v>
      </c>
      <c r="BC1" t="s">
        <v>388</v>
      </c>
      <c r="BD1" t="s">
        <v>389</v>
      </c>
      <c r="BE1" t="s">
        <v>390</v>
      </c>
      <c r="BF1" t="s">
        <v>391</v>
      </c>
      <c r="BG1" t="s">
        <v>392</v>
      </c>
      <c r="BH1" t="s">
        <v>393</v>
      </c>
      <c r="BI1" t="s">
        <v>394</v>
      </c>
      <c r="BJ1" t="s">
        <v>395</v>
      </c>
      <c r="BK1" t="s">
        <v>396</v>
      </c>
      <c r="BL1" t="s">
        <v>397</v>
      </c>
      <c r="BM1" t="s">
        <v>398</v>
      </c>
      <c r="BN1" t="s">
        <v>399</v>
      </c>
      <c r="BO1" t="s">
        <v>400</v>
      </c>
      <c r="BP1" t="s">
        <v>401</v>
      </c>
      <c r="BQ1" t="s">
        <v>402</v>
      </c>
      <c r="BR1" t="s">
        <v>403</v>
      </c>
      <c r="BS1" t="s">
        <v>404</v>
      </c>
      <c r="BT1" t="s">
        <v>405</v>
      </c>
      <c r="BU1" t="s">
        <v>406</v>
      </c>
      <c r="BV1" t="s">
        <v>407</v>
      </c>
      <c r="BW1" t="s">
        <v>408</v>
      </c>
      <c r="BX1" t="s">
        <v>409</v>
      </c>
      <c r="BY1" t="s">
        <v>410</v>
      </c>
      <c r="BZ1" t="s">
        <v>411</v>
      </c>
      <c r="CA1" t="s">
        <v>412</v>
      </c>
      <c r="CB1" t="s">
        <v>413</v>
      </c>
      <c r="CC1" t="s">
        <v>414</v>
      </c>
      <c r="CD1" t="s">
        <v>415</v>
      </c>
      <c r="CE1" t="s">
        <v>416</v>
      </c>
      <c r="CF1" t="s">
        <v>417</v>
      </c>
      <c r="CG1" t="s">
        <v>418</v>
      </c>
      <c r="CH1" t="s">
        <v>419</v>
      </c>
      <c r="CI1" t="s">
        <v>420</v>
      </c>
      <c r="CJ1" t="s">
        <v>421</v>
      </c>
    </row>
    <row r="2" spans="1:88">
      <c r="A2" t="s">
        <v>4</v>
      </c>
      <c r="B2" t="s">
        <v>5</v>
      </c>
      <c r="C2" t="s">
        <v>422</v>
      </c>
      <c r="D2">
        <v>5884</v>
      </c>
      <c r="E2" t="s">
        <v>84</v>
      </c>
      <c r="F2">
        <v>8133978</v>
      </c>
      <c r="G2" t="s">
        <v>423</v>
      </c>
      <c r="H2" t="s">
        <v>424</v>
      </c>
      <c r="I2" t="s">
        <v>425</v>
      </c>
      <c r="J2" t="s">
        <v>426</v>
      </c>
      <c r="K2" t="s">
        <v>426</v>
      </c>
      <c r="L2" t="s">
        <v>427</v>
      </c>
      <c r="M2" t="s">
        <v>428</v>
      </c>
      <c r="N2" t="s">
        <v>429</v>
      </c>
      <c r="O2" t="s">
        <v>426</v>
      </c>
      <c r="P2" t="s">
        <v>430</v>
      </c>
      <c r="Q2" t="s">
        <v>6</v>
      </c>
      <c r="R2" t="s">
        <v>431</v>
      </c>
      <c r="S2" t="s">
        <v>25</v>
      </c>
      <c r="T2" t="s">
        <v>432</v>
      </c>
      <c r="U2" t="s">
        <v>85</v>
      </c>
      <c r="V2" t="s">
        <v>86</v>
      </c>
      <c r="W2" t="s">
        <v>87</v>
      </c>
      <c r="X2" t="s">
        <v>87</v>
      </c>
      <c r="Y2" t="s">
        <v>87</v>
      </c>
      <c r="Z2" t="s">
        <v>433</v>
      </c>
      <c r="AA2">
        <v>2025</v>
      </c>
      <c r="AB2" t="s">
        <v>434</v>
      </c>
      <c r="AC2">
        <v>19842</v>
      </c>
      <c r="AD2" t="s">
        <v>435</v>
      </c>
      <c r="AE2" t="s">
        <v>426</v>
      </c>
      <c r="AF2" t="s">
        <v>436</v>
      </c>
      <c r="AG2">
        <v>16812766</v>
      </c>
      <c r="AH2" t="s">
        <v>435</v>
      </c>
      <c r="AI2" t="s">
        <v>426</v>
      </c>
      <c r="AJ2">
        <v>0</v>
      </c>
      <c r="AK2" t="s">
        <v>437</v>
      </c>
      <c r="AL2" t="s">
        <v>435</v>
      </c>
      <c r="AM2" t="s">
        <v>438</v>
      </c>
      <c r="AN2" t="s">
        <v>439</v>
      </c>
      <c r="AO2" t="s">
        <v>426</v>
      </c>
      <c r="AP2">
        <v>0</v>
      </c>
      <c r="AQ2">
        <v>18058824</v>
      </c>
      <c r="AR2">
        <v>-1470588</v>
      </c>
      <c r="AS2">
        <v>-632059</v>
      </c>
      <c r="AT2">
        <v>15956176</v>
      </c>
      <c r="AU2">
        <v>16812766</v>
      </c>
      <c r="AV2">
        <v>-856590</v>
      </c>
      <c r="AW2" t="s">
        <v>440</v>
      </c>
      <c r="AX2">
        <v>0</v>
      </c>
      <c r="AY2">
        <v>921320</v>
      </c>
      <c r="AZ2">
        <v>921320</v>
      </c>
      <c r="BA2">
        <v>0</v>
      </c>
      <c r="BB2" t="s">
        <v>441</v>
      </c>
      <c r="BC2">
        <v>0</v>
      </c>
      <c r="BD2">
        <v>0</v>
      </c>
      <c r="BE2">
        <v>0</v>
      </c>
      <c r="BF2">
        <v>0</v>
      </c>
      <c r="BG2" t="s">
        <v>441</v>
      </c>
      <c r="BH2">
        <v>0</v>
      </c>
      <c r="BI2">
        <v>0</v>
      </c>
      <c r="BJ2">
        <v>0</v>
      </c>
      <c r="BK2">
        <v>0</v>
      </c>
      <c r="BL2" t="s">
        <v>441</v>
      </c>
      <c r="BM2">
        <v>16588236</v>
      </c>
      <c r="BN2">
        <v>16877496</v>
      </c>
      <c r="BO2">
        <v>17734086</v>
      </c>
      <c r="BP2">
        <v>-856590</v>
      </c>
      <c r="BQ2" t="s">
        <v>442</v>
      </c>
      <c r="BR2">
        <v>-856590</v>
      </c>
      <c r="BS2" t="s">
        <v>442</v>
      </c>
      <c r="BT2">
        <v>0</v>
      </c>
      <c r="BU2">
        <v>0</v>
      </c>
      <c r="BV2">
        <v>19909170</v>
      </c>
      <c r="BW2">
        <v>0</v>
      </c>
      <c r="BX2">
        <v>921320</v>
      </c>
      <c r="BY2">
        <v>0</v>
      </c>
      <c r="BZ2">
        <v>19909169</v>
      </c>
      <c r="CA2">
        <v>16877496</v>
      </c>
      <c r="CB2" s="2">
        <v>-856590</v>
      </c>
      <c r="CC2" t="s">
        <v>442</v>
      </c>
      <c r="CD2" t="s">
        <v>426</v>
      </c>
      <c r="CE2">
        <v>0</v>
      </c>
      <c r="CF2" t="s">
        <v>426</v>
      </c>
      <c r="CG2">
        <v>0</v>
      </c>
      <c r="CH2">
        <v>0</v>
      </c>
      <c r="CI2">
        <v>0</v>
      </c>
      <c r="CJ2" t="s">
        <v>426</v>
      </c>
    </row>
    <row r="3" spans="1:88">
      <c r="A3" t="s">
        <v>4</v>
      </c>
      <c r="B3" t="s">
        <v>88</v>
      </c>
      <c r="C3" t="s">
        <v>443</v>
      </c>
      <c r="D3">
        <v>5886</v>
      </c>
      <c r="E3" t="s">
        <v>89</v>
      </c>
      <c r="F3">
        <v>17467115</v>
      </c>
      <c r="G3" t="s">
        <v>444</v>
      </c>
      <c r="H3" t="s">
        <v>445</v>
      </c>
      <c r="I3" t="s">
        <v>426</v>
      </c>
      <c r="J3" t="s">
        <v>446</v>
      </c>
      <c r="K3" t="s">
        <v>426</v>
      </c>
      <c r="L3" t="s">
        <v>447</v>
      </c>
      <c r="M3" t="s">
        <v>448</v>
      </c>
      <c r="N3" t="s">
        <v>449</v>
      </c>
      <c r="O3" t="s">
        <v>426</v>
      </c>
      <c r="P3" t="s">
        <v>430</v>
      </c>
      <c r="Q3" t="s">
        <v>6</v>
      </c>
      <c r="R3" t="s">
        <v>431</v>
      </c>
      <c r="S3" t="s">
        <v>90</v>
      </c>
      <c r="T3" t="s">
        <v>450</v>
      </c>
      <c r="U3" t="s">
        <v>91</v>
      </c>
      <c r="V3" t="s">
        <v>92</v>
      </c>
      <c r="W3" t="s">
        <v>93</v>
      </c>
      <c r="X3" t="s">
        <v>93</v>
      </c>
      <c r="Y3" t="s">
        <v>426</v>
      </c>
      <c r="Z3" t="s">
        <v>433</v>
      </c>
      <c r="AA3">
        <v>2025</v>
      </c>
      <c r="AB3" t="s">
        <v>434</v>
      </c>
      <c r="AC3">
        <v>19831</v>
      </c>
      <c r="AD3" t="s">
        <v>451</v>
      </c>
      <c r="AE3" t="s">
        <v>426</v>
      </c>
      <c r="AF3" t="s">
        <v>452</v>
      </c>
      <c r="AG3">
        <v>18024933</v>
      </c>
      <c r="AH3" t="s">
        <v>453</v>
      </c>
      <c r="AI3" t="s">
        <v>426</v>
      </c>
      <c r="AJ3">
        <v>0</v>
      </c>
      <c r="AK3" t="s">
        <v>426</v>
      </c>
      <c r="AL3" t="s">
        <v>453</v>
      </c>
      <c r="AM3" t="s">
        <v>454</v>
      </c>
      <c r="AN3" t="s">
        <v>439</v>
      </c>
      <c r="AO3" t="s">
        <v>426</v>
      </c>
      <c r="AP3">
        <v>0</v>
      </c>
      <c r="AQ3">
        <v>19319328</v>
      </c>
      <c r="AR3">
        <v>-2605042</v>
      </c>
      <c r="AS3">
        <v>-621849</v>
      </c>
      <c r="AT3">
        <v>16092437</v>
      </c>
      <c r="AU3">
        <v>18024933</v>
      </c>
      <c r="AV3">
        <v>-1932496</v>
      </c>
      <c r="AW3" t="s">
        <v>455</v>
      </c>
      <c r="AX3">
        <v>0</v>
      </c>
      <c r="AY3">
        <v>924879</v>
      </c>
      <c r="AZ3">
        <v>924879</v>
      </c>
      <c r="BA3">
        <v>0</v>
      </c>
      <c r="BB3" t="s">
        <v>441</v>
      </c>
      <c r="BC3">
        <v>0</v>
      </c>
      <c r="BD3">
        <v>0</v>
      </c>
      <c r="BE3">
        <v>0</v>
      </c>
      <c r="BF3">
        <v>0</v>
      </c>
      <c r="BG3" t="s">
        <v>441</v>
      </c>
      <c r="BH3">
        <v>0</v>
      </c>
      <c r="BI3">
        <v>0</v>
      </c>
      <c r="BJ3">
        <v>0</v>
      </c>
      <c r="BK3">
        <v>0</v>
      </c>
      <c r="BL3" t="s">
        <v>441</v>
      </c>
      <c r="BM3">
        <v>16714286</v>
      </c>
      <c r="BN3">
        <v>17017316</v>
      </c>
      <c r="BO3">
        <v>18949812</v>
      </c>
      <c r="BP3">
        <v>-1932496</v>
      </c>
      <c r="BQ3" t="s">
        <v>456</v>
      </c>
      <c r="BR3">
        <v>-1932496</v>
      </c>
      <c r="BS3" t="s">
        <v>456</v>
      </c>
      <c r="BT3">
        <v>0</v>
      </c>
      <c r="BU3">
        <v>0</v>
      </c>
      <c r="BV3">
        <v>20074879</v>
      </c>
      <c r="BW3">
        <v>0</v>
      </c>
      <c r="BX3">
        <v>924879</v>
      </c>
      <c r="BY3">
        <v>0</v>
      </c>
      <c r="BZ3">
        <v>20074879</v>
      </c>
      <c r="CA3">
        <v>17017316</v>
      </c>
      <c r="CB3" s="2">
        <v>-1932496</v>
      </c>
      <c r="CC3" t="s">
        <v>456</v>
      </c>
      <c r="CD3" t="s">
        <v>426</v>
      </c>
      <c r="CE3">
        <v>0</v>
      </c>
      <c r="CF3" t="s">
        <v>426</v>
      </c>
      <c r="CG3">
        <v>0</v>
      </c>
      <c r="CH3">
        <v>0</v>
      </c>
      <c r="CI3">
        <v>0</v>
      </c>
      <c r="CJ3" t="s">
        <v>426</v>
      </c>
    </row>
    <row r="4" spans="1:88">
      <c r="A4" t="s">
        <v>4</v>
      </c>
      <c r="B4" t="s">
        <v>5</v>
      </c>
      <c r="C4" t="s">
        <v>457</v>
      </c>
      <c r="D4">
        <v>5891</v>
      </c>
      <c r="E4" t="s">
        <v>94</v>
      </c>
      <c r="F4">
        <v>10265209</v>
      </c>
      <c r="G4" t="s">
        <v>458</v>
      </c>
      <c r="H4" t="s">
        <v>459</v>
      </c>
      <c r="I4" t="s">
        <v>460</v>
      </c>
      <c r="J4" t="s">
        <v>426</v>
      </c>
      <c r="K4" t="s">
        <v>426</v>
      </c>
      <c r="L4" t="s">
        <v>427</v>
      </c>
      <c r="M4" t="s">
        <v>461</v>
      </c>
      <c r="N4" t="s">
        <v>462</v>
      </c>
      <c r="O4" t="s">
        <v>426</v>
      </c>
      <c r="P4" t="s">
        <v>463</v>
      </c>
      <c r="Q4" t="s">
        <v>6</v>
      </c>
      <c r="R4" t="s">
        <v>464</v>
      </c>
      <c r="S4" t="s">
        <v>23</v>
      </c>
      <c r="T4" t="s">
        <v>465</v>
      </c>
      <c r="U4" t="s">
        <v>31</v>
      </c>
      <c r="V4" t="s">
        <v>95</v>
      </c>
      <c r="W4" t="s">
        <v>96</v>
      </c>
      <c r="X4" t="s">
        <v>96</v>
      </c>
      <c r="Y4" t="s">
        <v>426</v>
      </c>
      <c r="Z4" t="s">
        <v>433</v>
      </c>
      <c r="AA4">
        <v>2025</v>
      </c>
      <c r="AB4" t="s">
        <v>434</v>
      </c>
      <c r="AC4">
        <v>19823</v>
      </c>
      <c r="AD4" t="s">
        <v>466</v>
      </c>
      <c r="AE4" t="s">
        <v>426</v>
      </c>
      <c r="AF4" t="s">
        <v>467</v>
      </c>
      <c r="AG4">
        <v>22640647</v>
      </c>
      <c r="AH4" t="s">
        <v>466</v>
      </c>
      <c r="AI4" t="s">
        <v>426</v>
      </c>
      <c r="AJ4">
        <v>0</v>
      </c>
      <c r="AK4" t="s">
        <v>437</v>
      </c>
      <c r="AL4" t="s">
        <v>466</v>
      </c>
      <c r="AM4" t="s">
        <v>438</v>
      </c>
      <c r="AN4" t="s">
        <v>439</v>
      </c>
      <c r="AO4" t="s">
        <v>468</v>
      </c>
      <c r="AP4">
        <v>0</v>
      </c>
      <c r="AQ4">
        <v>24529412</v>
      </c>
      <c r="AR4">
        <v>-3571429</v>
      </c>
      <c r="AS4">
        <v>-981176</v>
      </c>
      <c r="AT4">
        <v>19976807</v>
      </c>
      <c r="AU4">
        <v>22640647</v>
      </c>
      <c r="AV4">
        <v>-2663840</v>
      </c>
      <c r="AW4" t="s">
        <v>469</v>
      </c>
      <c r="AX4">
        <v>0</v>
      </c>
      <c r="AY4">
        <v>1186750</v>
      </c>
      <c r="AZ4">
        <v>1186750</v>
      </c>
      <c r="BA4">
        <v>0</v>
      </c>
      <c r="BB4" t="s">
        <v>441</v>
      </c>
      <c r="BC4">
        <v>0</v>
      </c>
      <c r="BD4">
        <v>0</v>
      </c>
      <c r="BE4">
        <v>0</v>
      </c>
      <c r="BF4">
        <v>0</v>
      </c>
      <c r="BG4" t="s">
        <v>441</v>
      </c>
      <c r="BH4">
        <v>0</v>
      </c>
      <c r="BI4">
        <v>0</v>
      </c>
      <c r="BJ4">
        <v>0</v>
      </c>
      <c r="BK4">
        <v>0</v>
      </c>
      <c r="BL4" t="s">
        <v>441</v>
      </c>
      <c r="BM4">
        <v>20957983</v>
      </c>
      <c r="BN4">
        <v>21163557</v>
      </c>
      <c r="BO4">
        <v>23827397</v>
      </c>
      <c r="BP4">
        <v>-2663840</v>
      </c>
      <c r="BQ4" t="s">
        <v>470</v>
      </c>
      <c r="BR4">
        <v>-2663840</v>
      </c>
      <c r="BS4" t="s">
        <v>470</v>
      </c>
      <c r="BT4">
        <v>0</v>
      </c>
      <c r="BU4">
        <v>11000000</v>
      </c>
      <c r="BV4">
        <v>13959150</v>
      </c>
      <c r="BW4">
        <v>0</v>
      </c>
      <c r="BX4">
        <v>1186750</v>
      </c>
      <c r="BY4">
        <v>0</v>
      </c>
      <c r="BZ4">
        <v>24959150</v>
      </c>
      <c r="CA4">
        <v>21163557</v>
      </c>
      <c r="CB4" s="2">
        <v>-2663840</v>
      </c>
      <c r="CC4" t="s">
        <v>470</v>
      </c>
      <c r="CD4" t="s">
        <v>426</v>
      </c>
      <c r="CE4">
        <v>0</v>
      </c>
      <c r="CF4" t="s">
        <v>426</v>
      </c>
      <c r="CG4">
        <v>0</v>
      </c>
      <c r="CH4">
        <v>0</v>
      </c>
      <c r="CI4">
        <v>0</v>
      </c>
      <c r="CJ4" t="s">
        <v>426</v>
      </c>
    </row>
    <row r="5" spans="1:88">
      <c r="A5" t="s">
        <v>4</v>
      </c>
      <c r="B5" t="s">
        <v>8</v>
      </c>
      <c r="C5" t="s">
        <v>471</v>
      </c>
      <c r="D5">
        <v>5892</v>
      </c>
      <c r="E5" t="s">
        <v>97</v>
      </c>
      <c r="F5">
        <v>10324690</v>
      </c>
      <c r="G5" t="s">
        <v>423</v>
      </c>
      <c r="H5" t="s">
        <v>472</v>
      </c>
      <c r="I5" t="s">
        <v>426</v>
      </c>
      <c r="J5" t="s">
        <v>473</v>
      </c>
      <c r="K5" t="s">
        <v>426</v>
      </c>
      <c r="L5" t="s">
        <v>474</v>
      </c>
      <c r="M5" t="s">
        <v>475</v>
      </c>
      <c r="N5" t="s">
        <v>476</v>
      </c>
      <c r="O5" t="s">
        <v>426</v>
      </c>
      <c r="P5" t="s">
        <v>430</v>
      </c>
      <c r="Q5" t="s">
        <v>6</v>
      </c>
      <c r="R5" t="s">
        <v>464</v>
      </c>
      <c r="S5" t="s">
        <v>29</v>
      </c>
      <c r="T5" t="s">
        <v>477</v>
      </c>
      <c r="U5" t="s">
        <v>11</v>
      </c>
      <c r="V5" t="s">
        <v>98</v>
      </c>
      <c r="W5" t="s">
        <v>99</v>
      </c>
      <c r="X5" t="s">
        <v>99</v>
      </c>
      <c r="Y5" t="s">
        <v>426</v>
      </c>
      <c r="Z5" t="s">
        <v>433</v>
      </c>
      <c r="AA5">
        <v>2025</v>
      </c>
      <c r="AB5" t="s">
        <v>434</v>
      </c>
      <c r="AC5">
        <v>19846</v>
      </c>
      <c r="AD5" t="s">
        <v>478</v>
      </c>
      <c r="AE5" t="s">
        <v>426</v>
      </c>
      <c r="AF5" t="s">
        <v>479</v>
      </c>
      <c r="AG5">
        <v>15342740</v>
      </c>
      <c r="AH5" t="s">
        <v>480</v>
      </c>
      <c r="AI5" t="s">
        <v>426</v>
      </c>
      <c r="AJ5">
        <v>0</v>
      </c>
      <c r="AK5" t="s">
        <v>437</v>
      </c>
      <c r="AL5" t="s">
        <v>480</v>
      </c>
      <c r="AM5" t="s">
        <v>481</v>
      </c>
      <c r="AN5" t="s">
        <v>439</v>
      </c>
      <c r="AO5" t="s">
        <v>426</v>
      </c>
      <c r="AP5">
        <v>71</v>
      </c>
      <c r="AQ5">
        <v>0</v>
      </c>
      <c r="AR5">
        <v>-3109244</v>
      </c>
      <c r="AS5">
        <v>-613445</v>
      </c>
      <c r="AT5">
        <v>13831933</v>
      </c>
      <c r="AU5">
        <v>13494000</v>
      </c>
      <c r="AV5">
        <v>337933</v>
      </c>
      <c r="AW5" t="s">
        <v>482</v>
      </c>
      <c r="AX5">
        <v>0</v>
      </c>
      <c r="AY5">
        <v>717696</v>
      </c>
      <c r="AZ5">
        <v>717696</v>
      </c>
      <c r="BA5">
        <v>0</v>
      </c>
      <c r="BB5" t="s">
        <v>441</v>
      </c>
      <c r="BC5">
        <v>0</v>
      </c>
      <c r="BD5">
        <v>0</v>
      </c>
      <c r="BE5">
        <v>0</v>
      </c>
      <c r="BF5">
        <v>0</v>
      </c>
      <c r="BG5" t="s">
        <v>441</v>
      </c>
      <c r="BH5">
        <v>0</v>
      </c>
      <c r="BI5">
        <v>0</v>
      </c>
      <c r="BJ5">
        <v>0</v>
      </c>
      <c r="BK5">
        <v>0</v>
      </c>
      <c r="BL5" t="s">
        <v>441</v>
      </c>
      <c r="BM5">
        <v>-3109244</v>
      </c>
      <c r="BN5">
        <v>14549629</v>
      </c>
      <c r="BO5">
        <v>14216696</v>
      </c>
      <c r="BP5">
        <v>332933</v>
      </c>
      <c r="BQ5" t="s">
        <v>483</v>
      </c>
      <c r="BR5">
        <v>332933</v>
      </c>
      <c r="BS5" t="s">
        <v>483</v>
      </c>
      <c r="BT5">
        <v>0</v>
      </c>
      <c r="BU5">
        <v>0</v>
      </c>
      <c r="BV5">
        <v>17177696</v>
      </c>
      <c r="BW5">
        <v>0</v>
      </c>
      <c r="BX5">
        <v>717696</v>
      </c>
      <c r="BY5">
        <v>0</v>
      </c>
      <c r="BZ5">
        <v>17177696</v>
      </c>
      <c r="CA5">
        <v>14549629</v>
      </c>
      <c r="CB5" s="2">
        <v>332933</v>
      </c>
      <c r="CC5" t="s">
        <v>483</v>
      </c>
      <c r="CD5" t="s">
        <v>426</v>
      </c>
      <c r="CE5">
        <v>0</v>
      </c>
      <c r="CF5" t="s">
        <v>426</v>
      </c>
      <c r="CG5">
        <v>0</v>
      </c>
      <c r="CH5">
        <v>2200000</v>
      </c>
      <c r="CI5">
        <v>5000</v>
      </c>
      <c r="CJ5" t="s">
        <v>426</v>
      </c>
    </row>
    <row r="6" spans="1:88">
      <c r="A6" t="s">
        <v>4</v>
      </c>
      <c r="B6" t="s">
        <v>5</v>
      </c>
      <c r="C6" t="s">
        <v>484</v>
      </c>
      <c r="D6">
        <v>5894</v>
      </c>
      <c r="E6" t="s">
        <v>100</v>
      </c>
      <c r="F6">
        <v>76296875</v>
      </c>
      <c r="G6" t="s">
        <v>485</v>
      </c>
      <c r="H6" t="s">
        <v>486</v>
      </c>
      <c r="I6" t="s">
        <v>487</v>
      </c>
      <c r="J6" t="s">
        <v>426</v>
      </c>
      <c r="K6" t="s">
        <v>426</v>
      </c>
      <c r="L6" t="s">
        <v>488</v>
      </c>
      <c r="M6" t="s">
        <v>426</v>
      </c>
      <c r="N6" t="s">
        <v>489</v>
      </c>
      <c r="O6" t="s">
        <v>426</v>
      </c>
      <c r="P6" t="s">
        <v>490</v>
      </c>
      <c r="Q6" t="s">
        <v>6</v>
      </c>
      <c r="R6" t="s">
        <v>491</v>
      </c>
      <c r="S6" t="s">
        <v>24</v>
      </c>
      <c r="T6" t="s">
        <v>492</v>
      </c>
      <c r="U6" t="s">
        <v>7</v>
      </c>
      <c r="V6" t="s">
        <v>101</v>
      </c>
      <c r="W6" t="s">
        <v>102</v>
      </c>
      <c r="X6" t="s">
        <v>102</v>
      </c>
      <c r="Y6" t="s">
        <v>102</v>
      </c>
      <c r="Z6" t="s">
        <v>433</v>
      </c>
      <c r="AA6">
        <v>2025</v>
      </c>
      <c r="AB6" t="s">
        <v>434</v>
      </c>
      <c r="AC6">
        <v>19857</v>
      </c>
      <c r="AD6" t="s">
        <v>493</v>
      </c>
      <c r="AE6" t="s">
        <v>426</v>
      </c>
      <c r="AF6" t="s">
        <v>494</v>
      </c>
      <c r="AG6">
        <v>11047360</v>
      </c>
      <c r="AH6" t="s">
        <v>493</v>
      </c>
      <c r="AI6" t="s">
        <v>426</v>
      </c>
      <c r="AJ6">
        <v>0</v>
      </c>
      <c r="AK6" t="s">
        <v>437</v>
      </c>
      <c r="AL6" t="s">
        <v>493</v>
      </c>
      <c r="AM6" t="s">
        <v>438</v>
      </c>
      <c r="AN6" t="s">
        <v>439</v>
      </c>
      <c r="AO6" t="s">
        <v>426</v>
      </c>
      <c r="AP6">
        <v>0</v>
      </c>
      <c r="AQ6">
        <v>12640000</v>
      </c>
      <c r="AR6">
        <v>-2050000</v>
      </c>
      <c r="AS6">
        <v>-814000</v>
      </c>
      <c r="AT6">
        <v>9776000</v>
      </c>
      <c r="AU6">
        <v>9629293</v>
      </c>
      <c r="AV6">
        <v>146707</v>
      </c>
      <c r="AW6" t="s">
        <v>495</v>
      </c>
      <c r="AX6">
        <v>0</v>
      </c>
      <c r="AY6">
        <v>381560</v>
      </c>
      <c r="AZ6">
        <v>381560</v>
      </c>
      <c r="BA6">
        <v>0</v>
      </c>
      <c r="BB6" t="s">
        <v>441</v>
      </c>
      <c r="BC6">
        <v>0</v>
      </c>
      <c r="BD6">
        <v>0</v>
      </c>
      <c r="BE6">
        <v>0</v>
      </c>
      <c r="BF6">
        <v>0</v>
      </c>
      <c r="BG6" t="s">
        <v>441</v>
      </c>
      <c r="BH6">
        <v>0</v>
      </c>
      <c r="BI6">
        <v>0</v>
      </c>
      <c r="BJ6">
        <v>0</v>
      </c>
      <c r="BK6">
        <v>0</v>
      </c>
      <c r="BL6" t="s">
        <v>441</v>
      </c>
      <c r="BM6">
        <v>10590000</v>
      </c>
      <c r="BN6">
        <v>10157560</v>
      </c>
      <c r="BO6">
        <v>10010853</v>
      </c>
      <c r="BP6">
        <v>146707</v>
      </c>
      <c r="BQ6" t="s">
        <v>496</v>
      </c>
      <c r="BR6">
        <v>146707</v>
      </c>
      <c r="BS6" t="s">
        <v>496</v>
      </c>
      <c r="BT6">
        <v>0</v>
      </c>
      <c r="BU6">
        <v>0</v>
      </c>
      <c r="BV6">
        <v>12015000</v>
      </c>
      <c r="BW6">
        <v>0</v>
      </c>
      <c r="BX6">
        <v>381560</v>
      </c>
      <c r="BY6">
        <v>0</v>
      </c>
      <c r="BZ6">
        <v>12015000</v>
      </c>
      <c r="CA6">
        <v>10157560</v>
      </c>
      <c r="CB6" s="2">
        <v>146707</v>
      </c>
      <c r="CC6" t="s">
        <v>496</v>
      </c>
      <c r="CD6" t="s">
        <v>426</v>
      </c>
      <c r="CE6">
        <v>0</v>
      </c>
      <c r="CF6" t="s">
        <v>426</v>
      </c>
      <c r="CG6">
        <v>0</v>
      </c>
      <c r="CH6">
        <v>1687500</v>
      </c>
      <c r="CI6">
        <v>0</v>
      </c>
      <c r="CJ6" t="s">
        <v>426</v>
      </c>
    </row>
    <row r="7" spans="1:88">
      <c r="A7" t="s">
        <v>4</v>
      </c>
      <c r="B7" t="s">
        <v>5</v>
      </c>
      <c r="C7" t="s">
        <v>497</v>
      </c>
      <c r="D7">
        <v>5895</v>
      </c>
      <c r="E7" t="s">
        <v>100</v>
      </c>
      <c r="F7">
        <v>76296875</v>
      </c>
      <c r="G7" t="s">
        <v>485</v>
      </c>
      <c r="H7" t="s">
        <v>486</v>
      </c>
      <c r="I7" t="s">
        <v>487</v>
      </c>
      <c r="J7" t="s">
        <v>426</v>
      </c>
      <c r="K7" t="s">
        <v>426</v>
      </c>
      <c r="L7" t="s">
        <v>488</v>
      </c>
      <c r="M7" t="s">
        <v>426</v>
      </c>
      <c r="N7" t="s">
        <v>489</v>
      </c>
      <c r="O7" t="s">
        <v>426</v>
      </c>
      <c r="P7" t="s">
        <v>490</v>
      </c>
      <c r="Q7" t="s">
        <v>6</v>
      </c>
      <c r="R7" t="s">
        <v>491</v>
      </c>
      <c r="S7" t="s">
        <v>24</v>
      </c>
      <c r="T7" t="s">
        <v>492</v>
      </c>
      <c r="U7" t="s">
        <v>7</v>
      </c>
      <c r="V7" t="s">
        <v>103</v>
      </c>
      <c r="W7" t="s">
        <v>104</v>
      </c>
      <c r="X7" t="s">
        <v>104</v>
      </c>
      <c r="Y7" t="s">
        <v>104</v>
      </c>
      <c r="Z7" t="s">
        <v>433</v>
      </c>
      <c r="AA7">
        <v>2025</v>
      </c>
      <c r="AB7" t="s">
        <v>434</v>
      </c>
      <c r="AC7">
        <v>19858</v>
      </c>
      <c r="AD7" t="s">
        <v>493</v>
      </c>
      <c r="AE7" t="s">
        <v>426</v>
      </c>
      <c r="AF7" t="s">
        <v>498</v>
      </c>
      <c r="AG7">
        <v>11047360</v>
      </c>
      <c r="AH7" t="s">
        <v>493</v>
      </c>
      <c r="AI7" t="s">
        <v>426</v>
      </c>
      <c r="AJ7">
        <v>0</v>
      </c>
      <c r="AK7" t="s">
        <v>437</v>
      </c>
      <c r="AL7" t="s">
        <v>493</v>
      </c>
      <c r="AM7" t="s">
        <v>499</v>
      </c>
      <c r="AN7" t="s">
        <v>439</v>
      </c>
      <c r="AO7" t="s">
        <v>426</v>
      </c>
      <c r="AP7">
        <v>0</v>
      </c>
      <c r="AQ7">
        <v>12640000</v>
      </c>
      <c r="AR7">
        <v>-2050000</v>
      </c>
      <c r="AS7">
        <v>0</v>
      </c>
      <c r="AT7">
        <v>10590000</v>
      </c>
      <c r="AU7">
        <v>9629293</v>
      </c>
      <c r="AV7">
        <v>960707</v>
      </c>
      <c r="AW7" t="s">
        <v>500</v>
      </c>
      <c r="AX7">
        <v>0</v>
      </c>
      <c r="AY7">
        <v>381560</v>
      </c>
      <c r="AZ7">
        <v>381560</v>
      </c>
      <c r="BA7">
        <v>0</v>
      </c>
      <c r="BB7" t="s">
        <v>441</v>
      </c>
      <c r="BC7">
        <v>0</v>
      </c>
      <c r="BD7">
        <v>0</v>
      </c>
      <c r="BE7">
        <v>0</v>
      </c>
      <c r="BF7">
        <v>0</v>
      </c>
      <c r="BG7" t="s">
        <v>441</v>
      </c>
      <c r="BH7">
        <v>0</v>
      </c>
      <c r="BI7">
        <v>0</v>
      </c>
      <c r="BJ7">
        <v>0</v>
      </c>
      <c r="BK7">
        <v>0</v>
      </c>
      <c r="BL7" t="s">
        <v>441</v>
      </c>
      <c r="BM7">
        <v>10590000</v>
      </c>
      <c r="BN7">
        <v>10971560</v>
      </c>
      <c r="BO7">
        <v>10010853</v>
      </c>
      <c r="BP7">
        <v>960707</v>
      </c>
      <c r="BQ7" t="s">
        <v>501</v>
      </c>
      <c r="BR7">
        <v>960707</v>
      </c>
      <c r="BS7" t="s">
        <v>501</v>
      </c>
      <c r="BT7">
        <v>0</v>
      </c>
      <c r="BU7">
        <v>0</v>
      </c>
      <c r="BV7">
        <v>14657464</v>
      </c>
      <c r="BW7">
        <v>-1673804</v>
      </c>
      <c r="BX7">
        <v>381560</v>
      </c>
      <c r="BY7">
        <v>0</v>
      </c>
      <c r="BZ7">
        <v>12983660</v>
      </c>
      <c r="CA7">
        <v>10971560</v>
      </c>
      <c r="CB7" s="2">
        <v>960707</v>
      </c>
      <c r="CC7" t="s">
        <v>501</v>
      </c>
      <c r="CD7" t="s">
        <v>426</v>
      </c>
      <c r="CE7">
        <v>0</v>
      </c>
      <c r="CF7" t="s">
        <v>426</v>
      </c>
      <c r="CG7">
        <v>0</v>
      </c>
      <c r="CH7">
        <v>1687500</v>
      </c>
      <c r="CI7">
        <v>0</v>
      </c>
      <c r="CJ7" t="s">
        <v>426</v>
      </c>
    </row>
    <row r="8" spans="1:88">
      <c r="A8" t="s">
        <v>4</v>
      </c>
      <c r="B8" t="s">
        <v>5</v>
      </c>
      <c r="C8" t="s">
        <v>502</v>
      </c>
      <c r="D8">
        <v>5896</v>
      </c>
      <c r="E8" t="s">
        <v>105</v>
      </c>
      <c r="F8">
        <v>17833721</v>
      </c>
      <c r="G8" t="s">
        <v>503</v>
      </c>
      <c r="H8" t="s">
        <v>504</v>
      </c>
      <c r="I8" t="s">
        <v>505</v>
      </c>
      <c r="J8" t="s">
        <v>426</v>
      </c>
      <c r="K8" t="s">
        <v>426</v>
      </c>
      <c r="L8" t="s">
        <v>506</v>
      </c>
      <c r="M8" t="s">
        <v>507</v>
      </c>
      <c r="N8" t="s">
        <v>508</v>
      </c>
      <c r="O8" t="s">
        <v>426</v>
      </c>
      <c r="P8" t="s">
        <v>509</v>
      </c>
      <c r="Q8" t="s">
        <v>6</v>
      </c>
      <c r="R8" t="s">
        <v>510</v>
      </c>
      <c r="S8" t="s">
        <v>106</v>
      </c>
      <c r="T8" t="s">
        <v>511</v>
      </c>
      <c r="U8" t="s">
        <v>7</v>
      </c>
      <c r="V8" t="s">
        <v>107</v>
      </c>
      <c r="W8" t="s">
        <v>108</v>
      </c>
      <c r="X8" t="s">
        <v>108</v>
      </c>
      <c r="Y8" t="s">
        <v>108</v>
      </c>
      <c r="Z8" t="s">
        <v>433</v>
      </c>
      <c r="AA8">
        <v>2025</v>
      </c>
      <c r="AB8" t="s">
        <v>434</v>
      </c>
      <c r="AC8">
        <v>19841</v>
      </c>
      <c r="AD8" t="s">
        <v>435</v>
      </c>
      <c r="AE8" t="s">
        <v>426</v>
      </c>
      <c r="AF8" t="s">
        <v>512</v>
      </c>
      <c r="AG8">
        <v>13320731</v>
      </c>
      <c r="AH8" t="s">
        <v>513</v>
      </c>
      <c r="AI8" t="s">
        <v>426</v>
      </c>
      <c r="AJ8">
        <v>0</v>
      </c>
      <c r="AK8" t="s">
        <v>437</v>
      </c>
      <c r="AL8" t="s">
        <v>513</v>
      </c>
      <c r="AM8" t="s">
        <v>438</v>
      </c>
      <c r="AN8" t="s">
        <v>439</v>
      </c>
      <c r="AO8" t="s">
        <v>426</v>
      </c>
      <c r="AP8">
        <v>0</v>
      </c>
      <c r="AQ8">
        <v>14277311</v>
      </c>
      <c r="AR8">
        <v>-2100840</v>
      </c>
      <c r="AS8">
        <v>-428571</v>
      </c>
      <c r="AT8">
        <v>11747899</v>
      </c>
      <c r="AU8">
        <v>13320731</v>
      </c>
      <c r="AV8">
        <v>-1572832</v>
      </c>
      <c r="AW8" t="s">
        <v>514</v>
      </c>
      <c r="AX8">
        <v>0</v>
      </c>
      <c r="AY8">
        <v>564820</v>
      </c>
      <c r="AZ8">
        <v>564820</v>
      </c>
      <c r="BA8">
        <v>0</v>
      </c>
      <c r="BB8" t="s">
        <v>441</v>
      </c>
      <c r="BC8">
        <v>0</v>
      </c>
      <c r="BD8">
        <v>0</v>
      </c>
      <c r="BE8">
        <v>0</v>
      </c>
      <c r="BF8">
        <v>0</v>
      </c>
      <c r="BG8" t="s">
        <v>441</v>
      </c>
      <c r="BH8">
        <v>0</v>
      </c>
      <c r="BI8">
        <v>0</v>
      </c>
      <c r="BJ8">
        <v>0</v>
      </c>
      <c r="BK8">
        <v>0</v>
      </c>
      <c r="BL8" t="s">
        <v>441</v>
      </c>
      <c r="BM8">
        <v>12176471</v>
      </c>
      <c r="BN8">
        <v>12312719</v>
      </c>
      <c r="BO8">
        <v>13885551</v>
      </c>
      <c r="BP8">
        <v>-1572832</v>
      </c>
      <c r="BQ8" t="s">
        <v>515</v>
      </c>
      <c r="BR8">
        <v>-1572832</v>
      </c>
      <c r="BS8" t="s">
        <v>515</v>
      </c>
      <c r="BT8">
        <v>0</v>
      </c>
      <c r="BU8">
        <v>0</v>
      </c>
      <c r="BV8">
        <v>14544820</v>
      </c>
      <c r="BW8">
        <v>0</v>
      </c>
      <c r="BX8">
        <v>564820</v>
      </c>
      <c r="BY8">
        <v>0</v>
      </c>
      <c r="BZ8">
        <v>14544820</v>
      </c>
      <c r="CA8">
        <v>12312719</v>
      </c>
      <c r="CB8" s="2">
        <v>-1572832</v>
      </c>
      <c r="CC8" t="s">
        <v>515</v>
      </c>
      <c r="CD8" t="s">
        <v>426</v>
      </c>
      <c r="CE8">
        <v>0</v>
      </c>
      <c r="CF8" t="s">
        <v>426</v>
      </c>
      <c r="CG8">
        <v>0</v>
      </c>
      <c r="CH8">
        <v>0</v>
      </c>
      <c r="CI8">
        <v>0</v>
      </c>
      <c r="CJ8" t="s">
        <v>426</v>
      </c>
    </row>
    <row r="9" spans="1:88">
      <c r="A9" t="s">
        <v>4</v>
      </c>
      <c r="B9" t="s">
        <v>5</v>
      </c>
      <c r="C9" t="s">
        <v>516</v>
      </c>
      <c r="D9">
        <v>5898</v>
      </c>
      <c r="E9" t="s">
        <v>109</v>
      </c>
      <c r="F9">
        <v>76193982</v>
      </c>
      <c r="G9" t="s">
        <v>423</v>
      </c>
      <c r="H9" t="s">
        <v>517</v>
      </c>
      <c r="I9" t="s">
        <v>518</v>
      </c>
      <c r="J9" t="s">
        <v>426</v>
      </c>
      <c r="K9" t="s">
        <v>426</v>
      </c>
      <c r="L9" t="s">
        <v>488</v>
      </c>
      <c r="M9" t="s">
        <v>426</v>
      </c>
      <c r="N9" t="s">
        <v>519</v>
      </c>
      <c r="O9" t="s">
        <v>426</v>
      </c>
      <c r="P9" t="s">
        <v>490</v>
      </c>
      <c r="Q9" t="s">
        <v>6</v>
      </c>
      <c r="R9" t="s">
        <v>491</v>
      </c>
      <c r="S9" t="s">
        <v>24</v>
      </c>
      <c r="T9" t="s">
        <v>492</v>
      </c>
      <c r="U9" t="s">
        <v>7</v>
      </c>
      <c r="V9" t="s">
        <v>110</v>
      </c>
      <c r="W9" t="s">
        <v>111</v>
      </c>
      <c r="X9" t="s">
        <v>111</v>
      </c>
      <c r="Y9" t="s">
        <v>111</v>
      </c>
      <c r="Z9" t="s">
        <v>433</v>
      </c>
      <c r="AA9">
        <v>2025</v>
      </c>
      <c r="AB9" t="s">
        <v>434</v>
      </c>
      <c r="AC9">
        <v>19852</v>
      </c>
      <c r="AD9" t="s">
        <v>520</v>
      </c>
      <c r="AE9" t="s">
        <v>426</v>
      </c>
      <c r="AF9" t="s">
        <v>521</v>
      </c>
      <c r="AG9">
        <v>11047360</v>
      </c>
      <c r="AH9" t="s">
        <v>522</v>
      </c>
      <c r="AI9" t="s">
        <v>426</v>
      </c>
      <c r="AJ9">
        <v>0</v>
      </c>
      <c r="AK9" t="s">
        <v>437</v>
      </c>
      <c r="AL9" t="s">
        <v>522</v>
      </c>
      <c r="AM9" t="s">
        <v>438</v>
      </c>
      <c r="AN9" t="s">
        <v>439</v>
      </c>
      <c r="AO9" t="s">
        <v>426</v>
      </c>
      <c r="AP9">
        <v>0</v>
      </c>
      <c r="AQ9">
        <v>12640000</v>
      </c>
      <c r="AR9">
        <v>-2050000</v>
      </c>
      <c r="AS9">
        <v>-814000</v>
      </c>
      <c r="AT9">
        <v>9776000</v>
      </c>
      <c r="AU9">
        <v>9797360</v>
      </c>
      <c r="AV9">
        <v>-21360</v>
      </c>
      <c r="AW9" t="s">
        <v>523</v>
      </c>
      <c r="AX9">
        <v>0</v>
      </c>
      <c r="AY9">
        <v>299330</v>
      </c>
      <c r="AZ9">
        <v>299330</v>
      </c>
      <c r="BA9">
        <v>0</v>
      </c>
      <c r="BB9" t="s">
        <v>441</v>
      </c>
      <c r="BC9">
        <v>0</v>
      </c>
      <c r="BD9">
        <v>0</v>
      </c>
      <c r="BE9">
        <v>0</v>
      </c>
      <c r="BF9">
        <v>0</v>
      </c>
      <c r="BG9" t="s">
        <v>441</v>
      </c>
      <c r="BH9">
        <v>0</v>
      </c>
      <c r="BI9">
        <v>0</v>
      </c>
      <c r="BJ9">
        <v>0</v>
      </c>
      <c r="BK9">
        <v>0</v>
      </c>
      <c r="BL9" t="s">
        <v>441</v>
      </c>
      <c r="BM9">
        <v>10590000</v>
      </c>
      <c r="BN9">
        <v>10075330</v>
      </c>
      <c r="BO9">
        <v>10096690</v>
      </c>
      <c r="BP9">
        <v>-21360</v>
      </c>
      <c r="BQ9" t="s">
        <v>524</v>
      </c>
      <c r="BR9">
        <v>-21360</v>
      </c>
      <c r="BS9" t="s">
        <v>524</v>
      </c>
      <c r="BT9">
        <v>0</v>
      </c>
      <c r="BU9">
        <v>0</v>
      </c>
      <c r="BV9">
        <v>11932770</v>
      </c>
      <c r="BW9">
        <v>0</v>
      </c>
      <c r="BX9">
        <v>299330</v>
      </c>
      <c r="BY9">
        <v>0</v>
      </c>
      <c r="BZ9">
        <v>11932770</v>
      </c>
      <c r="CA9">
        <v>10075330</v>
      </c>
      <c r="CB9" s="2">
        <v>-21360</v>
      </c>
      <c r="CC9" t="s">
        <v>524</v>
      </c>
      <c r="CD9" t="s">
        <v>426</v>
      </c>
      <c r="CE9">
        <v>0</v>
      </c>
      <c r="CF9" t="s">
        <v>426</v>
      </c>
      <c r="CG9">
        <v>0</v>
      </c>
      <c r="CH9">
        <v>1487500</v>
      </c>
      <c r="CI9">
        <v>0</v>
      </c>
      <c r="CJ9" t="s">
        <v>426</v>
      </c>
    </row>
    <row r="10" spans="1:88">
      <c r="A10" t="s">
        <v>4</v>
      </c>
      <c r="B10" t="s">
        <v>30</v>
      </c>
      <c r="C10" t="s">
        <v>525</v>
      </c>
      <c r="D10">
        <v>5899</v>
      </c>
      <c r="E10" t="s">
        <v>112</v>
      </c>
      <c r="F10">
        <v>20465426</v>
      </c>
      <c r="G10" t="s">
        <v>423</v>
      </c>
      <c r="H10" t="s">
        <v>526</v>
      </c>
      <c r="I10" t="s">
        <v>527</v>
      </c>
      <c r="J10" t="s">
        <v>527</v>
      </c>
      <c r="K10" t="s">
        <v>426</v>
      </c>
      <c r="L10" t="s">
        <v>528</v>
      </c>
      <c r="M10" t="s">
        <v>529</v>
      </c>
      <c r="N10" t="s">
        <v>530</v>
      </c>
      <c r="O10" t="s">
        <v>426</v>
      </c>
      <c r="P10" t="s">
        <v>509</v>
      </c>
      <c r="Q10" t="s">
        <v>6</v>
      </c>
      <c r="R10" t="s">
        <v>510</v>
      </c>
      <c r="S10" t="s">
        <v>19</v>
      </c>
      <c r="T10" t="s">
        <v>531</v>
      </c>
      <c r="U10" t="s">
        <v>11</v>
      </c>
      <c r="V10" t="s">
        <v>113</v>
      </c>
      <c r="W10" t="s">
        <v>114</v>
      </c>
      <c r="X10" t="s">
        <v>114</v>
      </c>
      <c r="Y10" t="s">
        <v>114</v>
      </c>
      <c r="Z10" t="s">
        <v>433</v>
      </c>
      <c r="AA10">
        <v>2024</v>
      </c>
      <c r="AB10" t="s">
        <v>434</v>
      </c>
      <c r="AC10">
        <v>19853</v>
      </c>
      <c r="AD10" t="s">
        <v>520</v>
      </c>
      <c r="AE10" t="s">
        <v>426</v>
      </c>
      <c r="AF10" t="s">
        <v>532</v>
      </c>
      <c r="AG10">
        <v>14537722</v>
      </c>
      <c r="AH10" t="s">
        <v>520</v>
      </c>
      <c r="AI10" t="s">
        <v>426</v>
      </c>
      <c r="AJ10">
        <v>0</v>
      </c>
      <c r="AK10" t="s">
        <v>533</v>
      </c>
      <c r="AL10" t="s">
        <v>520</v>
      </c>
      <c r="AM10" t="s">
        <v>438</v>
      </c>
      <c r="AN10" t="s">
        <v>439</v>
      </c>
      <c r="AO10" t="s">
        <v>426</v>
      </c>
      <c r="AP10">
        <v>224</v>
      </c>
      <c r="AQ10">
        <v>15957983</v>
      </c>
      <c r="AR10">
        <v>-2923773</v>
      </c>
      <c r="AS10">
        <v>0</v>
      </c>
      <c r="AT10">
        <v>13034210</v>
      </c>
      <c r="AU10">
        <v>14537722</v>
      </c>
      <c r="AV10">
        <v>-1503512</v>
      </c>
      <c r="AW10" t="s">
        <v>534</v>
      </c>
      <c r="AX10">
        <v>0</v>
      </c>
      <c r="AY10">
        <v>489290</v>
      </c>
      <c r="AZ10">
        <v>489290</v>
      </c>
      <c r="BA10">
        <v>0</v>
      </c>
      <c r="BB10" t="s">
        <v>441</v>
      </c>
      <c r="BC10">
        <v>0</v>
      </c>
      <c r="BD10">
        <v>0</v>
      </c>
      <c r="BE10">
        <v>0</v>
      </c>
      <c r="BF10">
        <v>0</v>
      </c>
      <c r="BG10" t="s">
        <v>441</v>
      </c>
      <c r="BH10">
        <v>0</v>
      </c>
      <c r="BI10">
        <v>0</v>
      </c>
      <c r="BJ10">
        <v>0</v>
      </c>
      <c r="BK10">
        <v>0</v>
      </c>
      <c r="BL10" t="s">
        <v>441</v>
      </c>
      <c r="BM10">
        <v>13034210</v>
      </c>
      <c r="BN10">
        <v>13523500</v>
      </c>
      <c r="BO10">
        <v>15027012</v>
      </c>
      <c r="BP10">
        <v>-1503512</v>
      </c>
      <c r="BQ10" t="s">
        <v>535</v>
      </c>
      <c r="BR10">
        <v>-1503512</v>
      </c>
      <c r="BS10" t="s">
        <v>535</v>
      </c>
      <c r="BT10">
        <v>0</v>
      </c>
      <c r="BU10">
        <v>0</v>
      </c>
      <c r="BV10">
        <v>16000000</v>
      </c>
      <c r="BW10">
        <v>0</v>
      </c>
      <c r="BX10">
        <v>489290</v>
      </c>
      <c r="BY10">
        <v>0</v>
      </c>
      <c r="BZ10">
        <v>16000000</v>
      </c>
      <c r="CA10">
        <v>13523500</v>
      </c>
      <c r="CB10" s="2">
        <v>-1503512</v>
      </c>
      <c r="CC10" t="s">
        <v>535</v>
      </c>
      <c r="CD10" t="s">
        <v>426</v>
      </c>
      <c r="CE10">
        <v>0</v>
      </c>
      <c r="CF10" t="s">
        <v>426</v>
      </c>
      <c r="CG10">
        <v>0</v>
      </c>
      <c r="CH10">
        <v>0</v>
      </c>
      <c r="CI10">
        <v>0</v>
      </c>
      <c r="CJ10" t="s">
        <v>426</v>
      </c>
    </row>
    <row r="11" spans="1:88">
      <c r="A11" t="s">
        <v>4</v>
      </c>
      <c r="B11" t="s">
        <v>8</v>
      </c>
      <c r="C11" t="s">
        <v>536</v>
      </c>
      <c r="D11">
        <v>5900</v>
      </c>
      <c r="E11" t="s">
        <v>67</v>
      </c>
      <c r="F11">
        <v>76257832</v>
      </c>
      <c r="G11" t="s">
        <v>537</v>
      </c>
      <c r="H11" t="s">
        <v>538</v>
      </c>
      <c r="I11" t="s">
        <v>426</v>
      </c>
      <c r="J11" t="s">
        <v>539</v>
      </c>
      <c r="K11" t="s">
        <v>426</v>
      </c>
      <c r="L11" t="s">
        <v>540</v>
      </c>
      <c r="M11" t="s">
        <v>475</v>
      </c>
      <c r="N11" t="s">
        <v>541</v>
      </c>
      <c r="O11" t="s">
        <v>426</v>
      </c>
      <c r="P11" t="s">
        <v>490</v>
      </c>
      <c r="Q11" t="s">
        <v>6</v>
      </c>
      <c r="R11" t="s">
        <v>491</v>
      </c>
      <c r="S11" t="s">
        <v>24</v>
      </c>
      <c r="T11" t="s">
        <v>492</v>
      </c>
      <c r="U11" t="s">
        <v>7</v>
      </c>
      <c r="V11" t="s">
        <v>115</v>
      </c>
      <c r="W11" t="s">
        <v>116</v>
      </c>
      <c r="X11" t="s">
        <v>116</v>
      </c>
      <c r="Y11" t="s">
        <v>116</v>
      </c>
      <c r="Z11" t="s">
        <v>433</v>
      </c>
      <c r="AA11">
        <v>2025</v>
      </c>
      <c r="AB11" t="s">
        <v>434</v>
      </c>
      <c r="AC11">
        <v>19843</v>
      </c>
      <c r="AD11" t="s">
        <v>478</v>
      </c>
      <c r="AE11" t="s">
        <v>426</v>
      </c>
      <c r="AF11" t="s">
        <v>542</v>
      </c>
      <c r="AG11">
        <v>11047360</v>
      </c>
      <c r="AH11" t="s">
        <v>478</v>
      </c>
      <c r="AI11" t="s">
        <v>426</v>
      </c>
      <c r="AJ11">
        <v>0</v>
      </c>
      <c r="AK11" t="s">
        <v>543</v>
      </c>
      <c r="AL11" t="s">
        <v>478</v>
      </c>
      <c r="AM11" t="s">
        <v>481</v>
      </c>
      <c r="AN11" t="s">
        <v>439</v>
      </c>
      <c r="AO11" t="s">
        <v>426</v>
      </c>
      <c r="AP11">
        <v>0</v>
      </c>
      <c r="AQ11">
        <v>12640000</v>
      </c>
      <c r="AR11">
        <v>-1250000</v>
      </c>
      <c r="AS11">
        <v>-574874</v>
      </c>
      <c r="AT11">
        <v>10815126</v>
      </c>
      <c r="AU11">
        <v>11047360</v>
      </c>
      <c r="AV11">
        <v>-232234</v>
      </c>
      <c r="AW11" t="s">
        <v>544</v>
      </c>
      <c r="AX11">
        <v>0</v>
      </c>
      <c r="AY11">
        <v>412733</v>
      </c>
      <c r="AZ11">
        <v>412733</v>
      </c>
      <c r="BA11">
        <v>0</v>
      </c>
      <c r="BB11" t="s">
        <v>441</v>
      </c>
      <c r="BC11">
        <v>0</v>
      </c>
      <c r="BD11">
        <v>0</v>
      </c>
      <c r="BE11">
        <v>0</v>
      </c>
      <c r="BF11">
        <v>0</v>
      </c>
      <c r="BG11" t="s">
        <v>441</v>
      </c>
      <c r="BH11">
        <v>0</v>
      </c>
      <c r="BI11">
        <v>0</v>
      </c>
      <c r="BJ11">
        <v>0</v>
      </c>
      <c r="BK11">
        <v>0</v>
      </c>
      <c r="BL11" t="s">
        <v>441</v>
      </c>
      <c r="BM11">
        <v>11390000</v>
      </c>
      <c r="BN11">
        <v>11227859</v>
      </c>
      <c r="BO11">
        <v>11460093</v>
      </c>
      <c r="BP11">
        <v>-232234</v>
      </c>
      <c r="BQ11" t="s">
        <v>545</v>
      </c>
      <c r="BR11">
        <v>-232234</v>
      </c>
      <c r="BS11" t="s">
        <v>545</v>
      </c>
      <c r="BT11">
        <v>0</v>
      </c>
      <c r="BU11">
        <v>0</v>
      </c>
      <c r="BV11">
        <v>13282733</v>
      </c>
      <c r="BW11">
        <v>0</v>
      </c>
      <c r="BX11">
        <v>412733</v>
      </c>
      <c r="BY11">
        <v>0</v>
      </c>
      <c r="BZ11">
        <v>13282733</v>
      </c>
      <c r="CA11">
        <v>11227859</v>
      </c>
      <c r="CB11" s="2">
        <v>-232234</v>
      </c>
      <c r="CC11" t="s">
        <v>545</v>
      </c>
      <c r="CD11" t="s">
        <v>426</v>
      </c>
      <c r="CE11">
        <v>0</v>
      </c>
      <c r="CF11" t="s">
        <v>426</v>
      </c>
      <c r="CG11">
        <v>0</v>
      </c>
      <c r="CH11">
        <v>0</v>
      </c>
      <c r="CI11">
        <v>0</v>
      </c>
      <c r="CJ11" t="s">
        <v>426</v>
      </c>
    </row>
    <row r="12" spans="1:88">
      <c r="A12" t="s">
        <v>4</v>
      </c>
      <c r="B12" t="s">
        <v>5</v>
      </c>
      <c r="C12" t="s">
        <v>546</v>
      </c>
      <c r="D12">
        <v>5905</v>
      </c>
      <c r="E12" t="s">
        <v>117</v>
      </c>
      <c r="F12">
        <v>16748913</v>
      </c>
      <c r="G12" t="s">
        <v>423</v>
      </c>
      <c r="H12" t="s">
        <v>547</v>
      </c>
      <c r="I12" t="s">
        <v>548</v>
      </c>
      <c r="J12" t="s">
        <v>426</v>
      </c>
      <c r="K12" t="s">
        <v>426</v>
      </c>
      <c r="L12" t="s">
        <v>549</v>
      </c>
      <c r="M12" t="s">
        <v>550</v>
      </c>
      <c r="N12" t="s">
        <v>551</v>
      </c>
      <c r="O12" t="s">
        <v>426</v>
      </c>
      <c r="P12" t="s">
        <v>430</v>
      </c>
      <c r="Q12" t="s">
        <v>6</v>
      </c>
      <c r="R12" t="s">
        <v>431</v>
      </c>
      <c r="S12" t="s">
        <v>17</v>
      </c>
      <c r="T12" t="s">
        <v>552</v>
      </c>
      <c r="U12" t="s">
        <v>13</v>
      </c>
      <c r="V12" t="s">
        <v>118</v>
      </c>
      <c r="W12" t="s">
        <v>119</v>
      </c>
      <c r="X12" t="s">
        <v>119</v>
      </c>
      <c r="Y12" t="s">
        <v>119</v>
      </c>
      <c r="Z12" t="s">
        <v>433</v>
      </c>
      <c r="AA12">
        <v>2025</v>
      </c>
      <c r="AB12" t="s">
        <v>434</v>
      </c>
      <c r="AC12">
        <v>19859</v>
      </c>
      <c r="AD12" t="s">
        <v>493</v>
      </c>
      <c r="AE12" t="s">
        <v>426</v>
      </c>
      <c r="AF12" t="s">
        <v>553</v>
      </c>
      <c r="AG12">
        <v>17651815</v>
      </c>
      <c r="AH12" t="s">
        <v>493</v>
      </c>
      <c r="AI12" t="s">
        <v>426</v>
      </c>
      <c r="AJ12">
        <v>0</v>
      </c>
      <c r="AK12" t="s">
        <v>437</v>
      </c>
      <c r="AL12" t="s">
        <v>493</v>
      </c>
      <c r="AM12" t="s">
        <v>438</v>
      </c>
      <c r="AN12" t="s">
        <v>439</v>
      </c>
      <c r="AO12" t="s">
        <v>426</v>
      </c>
      <c r="AP12">
        <v>26</v>
      </c>
      <c r="AQ12">
        <v>18899160</v>
      </c>
      <c r="AR12">
        <v>-1218487</v>
      </c>
      <c r="AS12">
        <v>-756303</v>
      </c>
      <c r="AT12">
        <v>16924370</v>
      </c>
      <c r="AU12">
        <v>17651815</v>
      </c>
      <c r="AV12">
        <v>-727445</v>
      </c>
      <c r="AW12" t="s">
        <v>554</v>
      </c>
      <c r="AX12">
        <v>0</v>
      </c>
      <c r="AY12">
        <v>973956</v>
      </c>
      <c r="AZ12">
        <v>973956</v>
      </c>
      <c r="BA12">
        <v>0</v>
      </c>
      <c r="BB12" t="s">
        <v>441</v>
      </c>
      <c r="BC12">
        <v>0</v>
      </c>
      <c r="BD12">
        <v>0</v>
      </c>
      <c r="BE12">
        <v>0</v>
      </c>
      <c r="BF12">
        <v>0</v>
      </c>
      <c r="BG12" t="s">
        <v>441</v>
      </c>
      <c r="BH12">
        <v>0</v>
      </c>
      <c r="BI12">
        <v>0</v>
      </c>
      <c r="BJ12">
        <v>0</v>
      </c>
      <c r="BK12">
        <v>0</v>
      </c>
      <c r="BL12" t="s">
        <v>441</v>
      </c>
      <c r="BM12">
        <v>17680673</v>
      </c>
      <c r="BN12">
        <v>17898326</v>
      </c>
      <c r="BO12">
        <v>18625771</v>
      </c>
      <c r="BP12">
        <v>-727445</v>
      </c>
      <c r="BQ12" t="s">
        <v>555</v>
      </c>
      <c r="BR12">
        <v>-727445</v>
      </c>
      <c r="BS12" t="s">
        <v>555</v>
      </c>
      <c r="BT12">
        <v>0</v>
      </c>
      <c r="BU12">
        <v>0</v>
      </c>
      <c r="BV12">
        <v>21113956</v>
      </c>
      <c r="BW12">
        <v>0</v>
      </c>
      <c r="BX12">
        <v>973956</v>
      </c>
      <c r="BY12">
        <v>0</v>
      </c>
      <c r="BZ12">
        <v>21113956</v>
      </c>
      <c r="CA12">
        <v>17898326</v>
      </c>
      <c r="CB12" s="2">
        <v>-727445</v>
      </c>
      <c r="CC12" t="s">
        <v>555</v>
      </c>
      <c r="CD12" t="s">
        <v>426</v>
      </c>
      <c r="CE12">
        <v>0</v>
      </c>
      <c r="CF12" t="s">
        <v>426</v>
      </c>
      <c r="CG12">
        <v>0</v>
      </c>
      <c r="CH12">
        <v>0</v>
      </c>
      <c r="CI12">
        <v>0</v>
      </c>
      <c r="CJ12" t="s">
        <v>426</v>
      </c>
    </row>
    <row r="13" spans="1:88">
      <c r="A13" t="s">
        <v>4</v>
      </c>
      <c r="B13" t="s">
        <v>8</v>
      </c>
      <c r="C13" t="s">
        <v>556</v>
      </c>
      <c r="D13">
        <v>5906</v>
      </c>
      <c r="E13" t="s">
        <v>120</v>
      </c>
      <c r="F13">
        <v>76096975</v>
      </c>
      <c r="G13" t="s">
        <v>423</v>
      </c>
      <c r="H13" t="s">
        <v>557</v>
      </c>
      <c r="I13" t="s">
        <v>426</v>
      </c>
      <c r="J13" t="s">
        <v>558</v>
      </c>
      <c r="K13" t="s">
        <v>426</v>
      </c>
      <c r="L13" t="s">
        <v>559</v>
      </c>
      <c r="M13" t="s">
        <v>475</v>
      </c>
      <c r="N13" t="s">
        <v>560</v>
      </c>
      <c r="O13" t="s">
        <v>426</v>
      </c>
      <c r="P13" t="s">
        <v>490</v>
      </c>
      <c r="Q13" t="s">
        <v>6</v>
      </c>
      <c r="R13" t="s">
        <v>491</v>
      </c>
      <c r="S13" t="s">
        <v>9</v>
      </c>
      <c r="T13" t="s">
        <v>561</v>
      </c>
      <c r="U13" t="s">
        <v>16</v>
      </c>
      <c r="V13" t="s">
        <v>121</v>
      </c>
      <c r="W13" t="s">
        <v>122</v>
      </c>
      <c r="X13" t="s">
        <v>122</v>
      </c>
      <c r="Y13" t="s">
        <v>122</v>
      </c>
      <c r="Z13" t="s">
        <v>433</v>
      </c>
      <c r="AA13">
        <v>2025</v>
      </c>
      <c r="AB13" t="s">
        <v>434</v>
      </c>
      <c r="AC13">
        <v>19895</v>
      </c>
      <c r="AD13" t="s">
        <v>562</v>
      </c>
      <c r="AE13" t="s">
        <v>426</v>
      </c>
      <c r="AF13" t="s">
        <v>563</v>
      </c>
      <c r="AG13">
        <v>12358360</v>
      </c>
      <c r="AH13" t="s">
        <v>564</v>
      </c>
      <c r="AI13" t="s">
        <v>426</v>
      </c>
      <c r="AJ13">
        <v>0</v>
      </c>
      <c r="AK13" t="s">
        <v>565</v>
      </c>
      <c r="AL13" t="s">
        <v>564</v>
      </c>
      <c r="AM13" t="s">
        <v>566</v>
      </c>
      <c r="AN13" t="s">
        <v>439</v>
      </c>
      <c r="AO13" t="s">
        <v>426</v>
      </c>
      <c r="AP13">
        <v>0</v>
      </c>
      <c r="AQ13">
        <v>0</v>
      </c>
      <c r="AR13">
        <v>-2450000</v>
      </c>
      <c r="AS13">
        <v>-597563</v>
      </c>
      <c r="AT13">
        <v>11092437</v>
      </c>
      <c r="AU13">
        <v>10708360</v>
      </c>
      <c r="AV13">
        <v>384077</v>
      </c>
      <c r="AW13" t="s">
        <v>567</v>
      </c>
      <c r="AX13">
        <v>0</v>
      </c>
      <c r="AY13">
        <v>338823</v>
      </c>
      <c r="AZ13">
        <v>338823</v>
      </c>
      <c r="BA13">
        <v>0</v>
      </c>
      <c r="BB13" t="s">
        <v>441</v>
      </c>
      <c r="BC13">
        <v>0</v>
      </c>
      <c r="BD13">
        <v>0</v>
      </c>
      <c r="BE13">
        <v>0</v>
      </c>
      <c r="BF13">
        <v>0</v>
      </c>
      <c r="BG13" t="s">
        <v>441</v>
      </c>
      <c r="BH13">
        <v>0</v>
      </c>
      <c r="BI13">
        <v>0</v>
      </c>
      <c r="BJ13">
        <v>0</v>
      </c>
      <c r="BK13">
        <v>0</v>
      </c>
      <c r="BL13" t="s">
        <v>441</v>
      </c>
      <c r="BM13">
        <v>-2450000</v>
      </c>
      <c r="BN13">
        <v>11431260</v>
      </c>
      <c r="BO13">
        <v>11047183</v>
      </c>
      <c r="BP13">
        <v>384077</v>
      </c>
      <c r="BQ13" t="s">
        <v>568</v>
      </c>
      <c r="BR13">
        <v>384077</v>
      </c>
      <c r="BS13" t="s">
        <v>568</v>
      </c>
      <c r="BT13">
        <v>0</v>
      </c>
      <c r="BU13">
        <v>0</v>
      </c>
      <c r="BV13">
        <v>13538823</v>
      </c>
      <c r="BW13">
        <v>0</v>
      </c>
      <c r="BX13">
        <v>338823</v>
      </c>
      <c r="BY13">
        <v>0</v>
      </c>
      <c r="BZ13">
        <v>13538823</v>
      </c>
      <c r="CA13">
        <v>11431260</v>
      </c>
      <c r="CB13" s="2">
        <v>384077</v>
      </c>
      <c r="CC13" t="s">
        <v>568</v>
      </c>
      <c r="CD13" t="s">
        <v>426</v>
      </c>
      <c r="CE13">
        <v>0</v>
      </c>
      <c r="CF13" t="s">
        <v>426</v>
      </c>
      <c r="CG13">
        <v>0</v>
      </c>
      <c r="CH13">
        <v>1963500</v>
      </c>
      <c r="CI13">
        <v>0</v>
      </c>
      <c r="CJ13" t="s">
        <v>426</v>
      </c>
    </row>
    <row r="14" spans="1:88">
      <c r="A14" t="s">
        <v>4</v>
      </c>
      <c r="B14" t="s">
        <v>5</v>
      </c>
      <c r="C14" t="s">
        <v>569</v>
      </c>
      <c r="D14">
        <v>5907</v>
      </c>
      <c r="E14" t="s">
        <v>123</v>
      </c>
      <c r="F14">
        <v>10888067</v>
      </c>
      <c r="G14" t="s">
        <v>537</v>
      </c>
      <c r="H14" t="s">
        <v>570</v>
      </c>
      <c r="I14" t="s">
        <v>571</v>
      </c>
      <c r="J14" t="s">
        <v>426</v>
      </c>
      <c r="K14" t="s">
        <v>426</v>
      </c>
      <c r="L14" t="s">
        <v>447</v>
      </c>
      <c r="M14" t="s">
        <v>572</v>
      </c>
      <c r="N14" t="s">
        <v>573</v>
      </c>
      <c r="O14" t="s">
        <v>426</v>
      </c>
      <c r="P14" t="s">
        <v>463</v>
      </c>
      <c r="Q14" t="s">
        <v>6</v>
      </c>
      <c r="R14" t="s">
        <v>464</v>
      </c>
      <c r="S14" t="s">
        <v>12</v>
      </c>
      <c r="T14" t="s">
        <v>574</v>
      </c>
      <c r="U14" t="s">
        <v>11</v>
      </c>
      <c r="V14" t="s">
        <v>124</v>
      </c>
      <c r="W14" t="s">
        <v>125</v>
      </c>
      <c r="X14" t="s">
        <v>125</v>
      </c>
      <c r="Y14" t="s">
        <v>125</v>
      </c>
      <c r="Z14" t="s">
        <v>433</v>
      </c>
      <c r="AA14">
        <v>2025</v>
      </c>
      <c r="AB14" t="s">
        <v>434</v>
      </c>
      <c r="AC14">
        <v>19845</v>
      </c>
      <c r="AD14" t="s">
        <v>478</v>
      </c>
      <c r="AE14" t="s">
        <v>426</v>
      </c>
      <c r="AF14" t="s">
        <v>575</v>
      </c>
      <c r="AG14">
        <v>30123832</v>
      </c>
      <c r="AH14" t="s">
        <v>478</v>
      </c>
      <c r="AI14" t="s">
        <v>426</v>
      </c>
      <c r="AJ14">
        <v>0</v>
      </c>
      <c r="AK14" t="s">
        <v>437</v>
      </c>
      <c r="AL14" t="s">
        <v>478</v>
      </c>
      <c r="AM14" t="s">
        <v>438</v>
      </c>
      <c r="AN14" t="s">
        <v>439</v>
      </c>
      <c r="AO14" t="s">
        <v>576</v>
      </c>
      <c r="AP14">
        <v>0</v>
      </c>
      <c r="AQ14">
        <v>34865546</v>
      </c>
      <c r="AR14">
        <v>-1680672</v>
      </c>
      <c r="AS14">
        <v>-831933</v>
      </c>
      <c r="AT14">
        <v>32352941</v>
      </c>
      <c r="AU14">
        <v>28443160</v>
      </c>
      <c r="AV14">
        <v>3909781</v>
      </c>
      <c r="AW14" t="s">
        <v>577</v>
      </c>
      <c r="AX14">
        <v>0</v>
      </c>
      <c r="AY14">
        <v>2240615</v>
      </c>
      <c r="AZ14">
        <v>2240615</v>
      </c>
      <c r="BA14">
        <v>0</v>
      </c>
      <c r="BB14" t="s">
        <v>441</v>
      </c>
      <c r="BC14">
        <v>0</v>
      </c>
      <c r="BD14">
        <v>0</v>
      </c>
      <c r="BE14">
        <v>0</v>
      </c>
      <c r="BF14">
        <v>0</v>
      </c>
      <c r="BG14" t="s">
        <v>441</v>
      </c>
      <c r="BH14">
        <v>0</v>
      </c>
      <c r="BI14">
        <v>0</v>
      </c>
      <c r="BJ14">
        <v>0</v>
      </c>
      <c r="BK14">
        <v>0</v>
      </c>
      <c r="BL14" t="s">
        <v>441</v>
      </c>
      <c r="BM14">
        <v>33184874</v>
      </c>
      <c r="BN14">
        <v>34593556</v>
      </c>
      <c r="BO14">
        <v>30683775</v>
      </c>
      <c r="BP14">
        <v>3909781</v>
      </c>
      <c r="BQ14" t="s">
        <v>578</v>
      </c>
      <c r="BR14">
        <v>3909781</v>
      </c>
      <c r="BS14" t="s">
        <v>578</v>
      </c>
      <c r="BT14">
        <v>0</v>
      </c>
      <c r="BU14">
        <v>29000000</v>
      </c>
      <c r="BV14">
        <v>11740615</v>
      </c>
      <c r="BW14">
        <v>0</v>
      </c>
      <c r="BX14">
        <v>2240615</v>
      </c>
      <c r="BY14">
        <v>0</v>
      </c>
      <c r="BZ14">
        <v>40740615</v>
      </c>
      <c r="CA14">
        <v>34593556</v>
      </c>
      <c r="CB14" s="2">
        <v>3909781</v>
      </c>
      <c r="CC14" t="s">
        <v>578</v>
      </c>
      <c r="CD14" t="s">
        <v>426</v>
      </c>
      <c r="CE14">
        <v>0</v>
      </c>
      <c r="CF14" t="s">
        <v>426</v>
      </c>
      <c r="CG14">
        <v>0</v>
      </c>
      <c r="CH14">
        <v>2000000</v>
      </c>
      <c r="CI14">
        <v>0</v>
      </c>
      <c r="CJ14" t="s">
        <v>426</v>
      </c>
    </row>
    <row r="15" spans="1:88">
      <c r="A15" t="s">
        <v>4</v>
      </c>
      <c r="B15" t="s">
        <v>8</v>
      </c>
      <c r="C15" t="s">
        <v>579</v>
      </c>
      <c r="D15">
        <v>5913</v>
      </c>
      <c r="E15" t="s">
        <v>126</v>
      </c>
      <c r="F15">
        <v>17408406</v>
      </c>
      <c r="G15" t="s">
        <v>537</v>
      </c>
      <c r="H15" t="s">
        <v>580</v>
      </c>
      <c r="I15" t="s">
        <v>426</v>
      </c>
      <c r="J15" t="s">
        <v>581</v>
      </c>
      <c r="K15" t="s">
        <v>426</v>
      </c>
      <c r="L15" t="s">
        <v>488</v>
      </c>
      <c r="M15" t="s">
        <v>582</v>
      </c>
      <c r="N15" t="s">
        <v>583</v>
      </c>
      <c r="O15" t="s">
        <v>426</v>
      </c>
      <c r="P15" t="s">
        <v>463</v>
      </c>
      <c r="Q15" t="s">
        <v>6</v>
      </c>
      <c r="R15" t="s">
        <v>464</v>
      </c>
      <c r="S15" t="s">
        <v>23</v>
      </c>
      <c r="T15" t="s">
        <v>465</v>
      </c>
      <c r="U15" t="s">
        <v>13</v>
      </c>
      <c r="V15" t="s">
        <v>127</v>
      </c>
      <c r="W15" t="s">
        <v>128</v>
      </c>
      <c r="X15" t="s">
        <v>128</v>
      </c>
      <c r="Y15" t="s">
        <v>128</v>
      </c>
      <c r="Z15" t="s">
        <v>433</v>
      </c>
      <c r="AA15">
        <v>2025</v>
      </c>
      <c r="AB15" t="s">
        <v>584</v>
      </c>
      <c r="AC15">
        <v>19908</v>
      </c>
      <c r="AD15" t="s">
        <v>585</v>
      </c>
      <c r="AE15" t="s">
        <v>426</v>
      </c>
      <c r="AF15" t="s">
        <v>586</v>
      </c>
      <c r="AG15">
        <v>22640647</v>
      </c>
      <c r="AH15" t="s">
        <v>587</v>
      </c>
      <c r="AI15" t="s">
        <v>426</v>
      </c>
      <c r="AJ15">
        <v>0</v>
      </c>
      <c r="AK15" t="s">
        <v>437</v>
      </c>
      <c r="AL15" t="s">
        <v>587</v>
      </c>
      <c r="AM15" t="s">
        <v>481</v>
      </c>
      <c r="AN15" t="s">
        <v>439</v>
      </c>
      <c r="AO15" t="s">
        <v>588</v>
      </c>
      <c r="AP15">
        <v>-6</v>
      </c>
      <c r="AQ15">
        <v>24529412</v>
      </c>
      <c r="AR15">
        <v>-3571429</v>
      </c>
      <c r="AS15">
        <v>-840336</v>
      </c>
      <c r="AT15">
        <v>20117647</v>
      </c>
      <c r="AU15">
        <v>22640647</v>
      </c>
      <c r="AV15">
        <v>-2523000</v>
      </c>
      <c r="AW15" t="s">
        <v>589</v>
      </c>
      <c r="AX15">
        <v>0</v>
      </c>
      <c r="AY15">
        <v>1196428</v>
      </c>
      <c r="AZ15">
        <v>1196428</v>
      </c>
      <c r="BA15">
        <v>0</v>
      </c>
      <c r="BB15" t="s">
        <v>441</v>
      </c>
      <c r="BC15">
        <v>73920</v>
      </c>
      <c r="BD15">
        <v>294118</v>
      </c>
      <c r="BE15">
        <v>0</v>
      </c>
      <c r="BF15">
        <v>0</v>
      </c>
      <c r="BG15" t="s">
        <v>441</v>
      </c>
      <c r="BH15">
        <v>0</v>
      </c>
      <c r="BI15">
        <v>0</v>
      </c>
      <c r="BJ15">
        <v>0</v>
      </c>
      <c r="BK15">
        <v>0</v>
      </c>
      <c r="BL15" t="s">
        <v>441</v>
      </c>
      <c r="BM15">
        <v>20957983</v>
      </c>
      <c r="BN15">
        <v>21608193</v>
      </c>
      <c r="BO15">
        <v>23837075</v>
      </c>
      <c r="BP15">
        <v>-2228882</v>
      </c>
      <c r="BQ15" t="s">
        <v>590</v>
      </c>
      <c r="BR15">
        <v>-2228882</v>
      </c>
      <c r="BS15" t="s">
        <v>590</v>
      </c>
      <c r="BT15">
        <v>0</v>
      </c>
      <c r="BU15">
        <v>21557299</v>
      </c>
      <c r="BV15">
        <v>17178644</v>
      </c>
      <c r="BW15">
        <v>-13249515</v>
      </c>
      <c r="BX15">
        <v>1196428</v>
      </c>
      <c r="BY15">
        <v>294118</v>
      </c>
      <c r="BZ15">
        <v>25486428</v>
      </c>
      <c r="CA15">
        <v>21608193</v>
      </c>
      <c r="CB15" s="2">
        <v>-2228882</v>
      </c>
      <c r="CC15" t="s">
        <v>590</v>
      </c>
      <c r="CD15" t="s">
        <v>426</v>
      </c>
      <c r="CE15">
        <v>0</v>
      </c>
      <c r="CF15" t="s">
        <v>426</v>
      </c>
      <c r="CG15">
        <v>0</v>
      </c>
      <c r="CH15">
        <v>0</v>
      </c>
      <c r="CI15">
        <v>0</v>
      </c>
      <c r="CJ15" t="s">
        <v>426</v>
      </c>
    </row>
    <row r="16" spans="1:88">
      <c r="A16" t="s">
        <v>4</v>
      </c>
      <c r="B16" t="s">
        <v>8</v>
      </c>
      <c r="C16" t="s">
        <v>591</v>
      </c>
      <c r="D16">
        <v>5914</v>
      </c>
      <c r="E16" t="s">
        <v>129</v>
      </c>
      <c r="F16">
        <v>8966208</v>
      </c>
      <c r="G16" t="s">
        <v>592</v>
      </c>
      <c r="H16" t="s">
        <v>593</v>
      </c>
      <c r="I16" t="s">
        <v>426</v>
      </c>
      <c r="J16" t="s">
        <v>594</v>
      </c>
      <c r="K16" t="s">
        <v>426</v>
      </c>
      <c r="L16" t="s">
        <v>488</v>
      </c>
      <c r="M16" t="s">
        <v>475</v>
      </c>
      <c r="N16" t="s">
        <v>595</v>
      </c>
      <c r="O16" t="s">
        <v>426</v>
      </c>
      <c r="P16" t="s">
        <v>430</v>
      </c>
      <c r="Q16" t="s">
        <v>6</v>
      </c>
      <c r="R16" t="s">
        <v>464</v>
      </c>
      <c r="S16" t="s">
        <v>29</v>
      </c>
      <c r="T16" t="s">
        <v>596</v>
      </c>
      <c r="U16" t="s">
        <v>7</v>
      </c>
      <c r="V16" t="s">
        <v>130</v>
      </c>
      <c r="W16" t="s">
        <v>131</v>
      </c>
      <c r="X16" t="s">
        <v>131</v>
      </c>
      <c r="Y16" t="s">
        <v>131</v>
      </c>
      <c r="Z16" t="s">
        <v>433</v>
      </c>
      <c r="AA16">
        <v>2024</v>
      </c>
      <c r="AB16" t="s">
        <v>434</v>
      </c>
      <c r="AC16">
        <v>19860</v>
      </c>
      <c r="AD16" t="s">
        <v>493</v>
      </c>
      <c r="AE16" t="s">
        <v>426</v>
      </c>
      <c r="AF16" t="s">
        <v>597</v>
      </c>
      <c r="AG16">
        <v>15695160</v>
      </c>
      <c r="AH16" t="s">
        <v>493</v>
      </c>
      <c r="AI16" t="s">
        <v>426</v>
      </c>
      <c r="AJ16">
        <v>0</v>
      </c>
      <c r="AK16" t="s">
        <v>437</v>
      </c>
      <c r="AL16" t="s">
        <v>493</v>
      </c>
      <c r="AM16" t="s">
        <v>481</v>
      </c>
      <c r="AN16" t="s">
        <v>439</v>
      </c>
      <c r="AO16" t="s">
        <v>426</v>
      </c>
      <c r="AP16">
        <v>0</v>
      </c>
      <c r="AQ16">
        <v>17134454</v>
      </c>
      <c r="AR16">
        <v>-3697479</v>
      </c>
      <c r="AS16">
        <v>0</v>
      </c>
      <c r="AT16">
        <v>13436975</v>
      </c>
      <c r="AU16">
        <v>15695160</v>
      </c>
      <c r="AV16">
        <v>-2258185</v>
      </c>
      <c r="AW16" t="s">
        <v>598</v>
      </c>
      <c r="AX16">
        <v>0</v>
      </c>
      <c r="AY16">
        <v>491389</v>
      </c>
      <c r="AZ16">
        <v>491389</v>
      </c>
      <c r="BA16">
        <v>0</v>
      </c>
      <c r="BB16" t="s">
        <v>441</v>
      </c>
      <c r="BC16">
        <v>0</v>
      </c>
      <c r="BD16">
        <v>0</v>
      </c>
      <c r="BE16">
        <v>0</v>
      </c>
      <c r="BF16">
        <v>0</v>
      </c>
      <c r="BG16" t="s">
        <v>441</v>
      </c>
      <c r="BH16">
        <v>0</v>
      </c>
      <c r="BI16">
        <v>0</v>
      </c>
      <c r="BJ16">
        <v>0</v>
      </c>
      <c r="BK16">
        <v>0</v>
      </c>
      <c r="BL16" t="s">
        <v>441</v>
      </c>
      <c r="BM16">
        <v>13436975</v>
      </c>
      <c r="BN16">
        <v>13928364</v>
      </c>
      <c r="BO16">
        <v>16186549</v>
      </c>
      <c r="BP16">
        <v>-2258185</v>
      </c>
      <c r="BQ16" t="s">
        <v>599</v>
      </c>
      <c r="BR16">
        <v>-2258185</v>
      </c>
      <c r="BS16" t="s">
        <v>599</v>
      </c>
      <c r="BT16">
        <v>0</v>
      </c>
      <c r="BU16">
        <v>0</v>
      </c>
      <c r="BV16">
        <v>16481389</v>
      </c>
      <c r="BW16">
        <v>0</v>
      </c>
      <c r="BX16">
        <v>491389</v>
      </c>
      <c r="BY16">
        <v>0</v>
      </c>
      <c r="BZ16">
        <v>16481389</v>
      </c>
      <c r="CA16">
        <v>13928364</v>
      </c>
      <c r="CB16" s="2">
        <v>-2258185</v>
      </c>
      <c r="CC16" t="s">
        <v>599</v>
      </c>
      <c r="CD16" t="s">
        <v>426</v>
      </c>
      <c r="CE16">
        <v>0</v>
      </c>
      <c r="CF16" t="s">
        <v>426</v>
      </c>
      <c r="CG16">
        <v>0</v>
      </c>
      <c r="CH16">
        <v>0</v>
      </c>
      <c r="CI16">
        <v>0</v>
      </c>
      <c r="CJ16" t="s">
        <v>426</v>
      </c>
    </row>
    <row r="17" spans="1:88">
      <c r="A17" t="s">
        <v>4</v>
      </c>
      <c r="B17" t="s">
        <v>5</v>
      </c>
      <c r="C17" t="s">
        <v>600</v>
      </c>
      <c r="D17">
        <v>5917</v>
      </c>
      <c r="E17" t="s">
        <v>132</v>
      </c>
      <c r="F17">
        <v>7918183</v>
      </c>
      <c r="G17" t="s">
        <v>537</v>
      </c>
      <c r="H17" t="s">
        <v>601</v>
      </c>
      <c r="I17" t="s">
        <v>602</v>
      </c>
      <c r="J17" t="s">
        <v>426</v>
      </c>
      <c r="K17" t="s">
        <v>426</v>
      </c>
      <c r="L17" t="s">
        <v>603</v>
      </c>
      <c r="M17" t="s">
        <v>604</v>
      </c>
      <c r="N17" t="s">
        <v>605</v>
      </c>
      <c r="O17" t="s">
        <v>426</v>
      </c>
      <c r="P17" t="s">
        <v>463</v>
      </c>
      <c r="Q17" t="s">
        <v>6</v>
      </c>
      <c r="R17" t="s">
        <v>464</v>
      </c>
      <c r="S17" t="s">
        <v>10</v>
      </c>
      <c r="T17" t="s">
        <v>606</v>
      </c>
      <c r="U17" t="s">
        <v>26</v>
      </c>
      <c r="V17" t="s">
        <v>133</v>
      </c>
      <c r="W17" t="s">
        <v>134</v>
      </c>
      <c r="X17" t="s">
        <v>134</v>
      </c>
      <c r="Y17" t="s">
        <v>426</v>
      </c>
      <c r="Z17" t="s">
        <v>433</v>
      </c>
      <c r="AA17">
        <v>2025</v>
      </c>
      <c r="AB17" t="s">
        <v>434</v>
      </c>
      <c r="AC17">
        <v>19861</v>
      </c>
      <c r="AD17" t="s">
        <v>493</v>
      </c>
      <c r="AE17" t="s">
        <v>426</v>
      </c>
      <c r="AF17" t="s">
        <v>607</v>
      </c>
      <c r="AG17">
        <v>23804093</v>
      </c>
      <c r="AH17" t="s">
        <v>493</v>
      </c>
      <c r="AI17" t="s">
        <v>426</v>
      </c>
      <c r="AJ17">
        <v>0</v>
      </c>
      <c r="AK17" t="s">
        <v>437</v>
      </c>
      <c r="AL17" t="s">
        <v>493</v>
      </c>
      <c r="AM17" t="s">
        <v>438</v>
      </c>
      <c r="AN17" t="s">
        <v>439</v>
      </c>
      <c r="AO17" t="s">
        <v>426</v>
      </c>
      <c r="AP17">
        <v>0</v>
      </c>
      <c r="AQ17">
        <v>25789916</v>
      </c>
      <c r="AR17">
        <v>-2436975</v>
      </c>
      <c r="AS17">
        <v>-773697</v>
      </c>
      <c r="AT17">
        <v>22579244</v>
      </c>
      <c r="AU17">
        <v>23804093</v>
      </c>
      <c r="AV17">
        <v>-1224849</v>
      </c>
      <c r="AW17" t="s">
        <v>608</v>
      </c>
      <c r="AX17">
        <v>0</v>
      </c>
      <c r="AY17">
        <v>1581111</v>
      </c>
      <c r="AZ17">
        <v>1581111</v>
      </c>
      <c r="BA17">
        <v>0</v>
      </c>
      <c r="BB17" t="s">
        <v>441</v>
      </c>
      <c r="BC17">
        <v>0</v>
      </c>
      <c r="BD17">
        <v>0</v>
      </c>
      <c r="BE17">
        <v>0</v>
      </c>
      <c r="BF17">
        <v>0</v>
      </c>
      <c r="BG17" t="s">
        <v>441</v>
      </c>
      <c r="BH17">
        <v>0</v>
      </c>
      <c r="BI17">
        <v>0</v>
      </c>
      <c r="BJ17">
        <v>0</v>
      </c>
      <c r="BK17">
        <v>0</v>
      </c>
      <c r="BL17" t="s">
        <v>441</v>
      </c>
      <c r="BM17">
        <v>23352941</v>
      </c>
      <c r="BN17">
        <v>24160355</v>
      </c>
      <c r="BO17">
        <v>25385204</v>
      </c>
      <c r="BP17">
        <v>-1224849</v>
      </c>
      <c r="BQ17" t="s">
        <v>609</v>
      </c>
      <c r="BR17">
        <v>-1224849</v>
      </c>
      <c r="BS17" t="s">
        <v>609</v>
      </c>
      <c r="BT17">
        <v>0</v>
      </c>
      <c r="BU17">
        <v>0</v>
      </c>
      <c r="BV17">
        <v>28450411</v>
      </c>
      <c r="BW17">
        <v>0</v>
      </c>
      <c r="BX17">
        <v>1581111</v>
      </c>
      <c r="BY17">
        <v>0</v>
      </c>
      <c r="BZ17">
        <v>28450411</v>
      </c>
      <c r="CA17">
        <v>24160355</v>
      </c>
      <c r="CB17" s="2">
        <v>-1224849</v>
      </c>
      <c r="CC17" t="s">
        <v>609</v>
      </c>
      <c r="CD17" t="s">
        <v>426</v>
      </c>
      <c r="CE17">
        <v>0</v>
      </c>
      <c r="CF17" t="s">
        <v>426</v>
      </c>
      <c r="CG17">
        <v>0</v>
      </c>
      <c r="CH17">
        <v>0</v>
      </c>
      <c r="CI17">
        <v>0</v>
      </c>
      <c r="CJ17" t="s">
        <v>426</v>
      </c>
    </row>
    <row r="18" spans="1:88">
      <c r="A18" t="s">
        <v>4</v>
      </c>
      <c r="B18" t="s">
        <v>5</v>
      </c>
      <c r="C18" t="s">
        <v>637</v>
      </c>
      <c r="D18">
        <v>5922</v>
      </c>
      <c r="E18" t="s">
        <v>135</v>
      </c>
      <c r="F18">
        <v>76101208</v>
      </c>
      <c r="G18" t="s">
        <v>537</v>
      </c>
      <c r="H18" t="s">
        <v>638</v>
      </c>
      <c r="I18" t="s">
        <v>426</v>
      </c>
      <c r="J18" t="s">
        <v>639</v>
      </c>
      <c r="K18" t="s">
        <v>639</v>
      </c>
      <c r="L18" t="s">
        <v>474</v>
      </c>
      <c r="M18" t="s">
        <v>640</v>
      </c>
      <c r="N18" t="s">
        <v>641</v>
      </c>
      <c r="O18" t="s">
        <v>426</v>
      </c>
      <c r="P18" t="s">
        <v>490</v>
      </c>
      <c r="Q18" t="s">
        <v>6</v>
      </c>
      <c r="R18" t="s">
        <v>491</v>
      </c>
      <c r="S18" t="s">
        <v>71</v>
      </c>
      <c r="T18" t="s">
        <v>642</v>
      </c>
      <c r="U18" t="s">
        <v>13</v>
      </c>
      <c r="V18" t="s">
        <v>136</v>
      </c>
      <c r="W18" t="s">
        <v>137</v>
      </c>
      <c r="X18" t="s">
        <v>137</v>
      </c>
      <c r="Y18" t="s">
        <v>137</v>
      </c>
      <c r="Z18" t="s">
        <v>433</v>
      </c>
      <c r="AA18">
        <v>2025</v>
      </c>
      <c r="AB18" t="s">
        <v>434</v>
      </c>
      <c r="AC18">
        <v>19856</v>
      </c>
      <c r="AD18" t="s">
        <v>493</v>
      </c>
      <c r="AE18" t="s">
        <v>426</v>
      </c>
      <c r="AF18" t="s">
        <v>643</v>
      </c>
      <c r="AG18">
        <v>12096160</v>
      </c>
      <c r="AH18" t="s">
        <v>493</v>
      </c>
      <c r="AI18" t="s">
        <v>426</v>
      </c>
      <c r="AJ18">
        <v>0</v>
      </c>
      <c r="AK18" t="s">
        <v>437</v>
      </c>
      <c r="AL18" t="s">
        <v>493</v>
      </c>
      <c r="AM18" t="s">
        <v>499</v>
      </c>
      <c r="AN18" t="s">
        <v>439</v>
      </c>
      <c r="AO18" t="s">
        <v>426</v>
      </c>
      <c r="AP18">
        <v>0</v>
      </c>
      <c r="AQ18">
        <v>13840000</v>
      </c>
      <c r="AR18">
        <v>-1350000</v>
      </c>
      <c r="AS18">
        <v>0</v>
      </c>
      <c r="AT18">
        <v>12490000</v>
      </c>
      <c r="AU18">
        <v>10746160</v>
      </c>
      <c r="AV18">
        <v>1743840</v>
      </c>
      <c r="AW18" t="s">
        <v>644</v>
      </c>
      <c r="AX18">
        <v>0</v>
      </c>
      <c r="AY18">
        <v>441686</v>
      </c>
      <c r="AZ18">
        <v>441686</v>
      </c>
      <c r="BA18">
        <v>0</v>
      </c>
      <c r="BB18" t="s">
        <v>441</v>
      </c>
      <c r="BC18">
        <v>0</v>
      </c>
      <c r="BD18">
        <v>0</v>
      </c>
      <c r="BE18">
        <v>0</v>
      </c>
      <c r="BF18">
        <v>0</v>
      </c>
      <c r="BG18" t="s">
        <v>441</v>
      </c>
      <c r="BH18">
        <v>0</v>
      </c>
      <c r="BI18">
        <v>0</v>
      </c>
      <c r="BJ18">
        <v>0</v>
      </c>
      <c r="BK18">
        <v>0</v>
      </c>
      <c r="BL18" t="s">
        <v>441</v>
      </c>
      <c r="BM18">
        <v>12490000</v>
      </c>
      <c r="BN18">
        <v>12931686</v>
      </c>
      <c r="BO18">
        <v>11187846</v>
      </c>
      <c r="BP18">
        <v>1743840</v>
      </c>
      <c r="BQ18" t="s">
        <v>645</v>
      </c>
      <c r="BR18">
        <v>1743840</v>
      </c>
      <c r="BS18" t="s">
        <v>645</v>
      </c>
      <c r="BT18">
        <v>0</v>
      </c>
      <c r="BU18">
        <v>0</v>
      </c>
      <c r="BV18">
        <v>15304786</v>
      </c>
      <c r="BW18">
        <v>0</v>
      </c>
      <c r="BX18">
        <v>441686</v>
      </c>
      <c r="BY18">
        <v>0</v>
      </c>
      <c r="BZ18">
        <v>15304786</v>
      </c>
      <c r="CA18">
        <v>12931686</v>
      </c>
      <c r="CB18" s="2">
        <v>1743840</v>
      </c>
      <c r="CC18" t="s">
        <v>645</v>
      </c>
      <c r="CD18" t="s">
        <v>426</v>
      </c>
      <c r="CE18">
        <v>0</v>
      </c>
      <c r="CF18" t="s">
        <v>426</v>
      </c>
      <c r="CG18">
        <v>0</v>
      </c>
      <c r="CH18">
        <v>1606500</v>
      </c>
      <c r="CI18">
        <v>0</v>
      </c>
      <c r="CJ18" t="s">
        <v>426</v>
      </c>
    </row>
    <row r="19" spans="1:88">
      <c r="A19" t="s">
        <v>4</v>
      </c>
      <c r="B19" t="s">
        <v>8</v>
      </c>
      <c r="C19" t="s">
        <v>646</v>
      </c>
      <c r="D19">
        <v>5926</v>
      </c>
      <c r="E19" t="s">
        <v>138</v>
      </c>
      <c r="F19">
        <v>76937697</v>
      </c>
      <c r="G19" t="s">
        <v>458</v>
      </c>
      <c r="H19" t="s">
        <v>647</v>
      </c>
      <c r="I19" t="s">
        <v>648</v>
      </c>
      <c r="J19" t="s">
        <v>426</v>
      </c>
      <c r="K19" t="s">
        <v>426</v>
      </c>
      <c r="L19" t="s">
        <v>649</v>
      </c>
      <c r="M19" t="s">
        <v>650</v>
      </c>
      <c r="N19" t="s">
        <v>651</v>
      </c>
      <c r="O19" t="s">
        <v>426</v>
      </c>
      <c r="P19" t="s">
        <v>490</v>
      </c>
      <c r="Q19" t="s">
        <v>6</v>
      </c>
      <c r="R19" t="s">
        <v>491</v>
      </c>
      <c r="S19" t="s">
        <v>24</v>
      </c>
      <c r="T19" t="s">
        <v>492</v>
      </c>
      <c r="U19" t="s">
        <v>7</v>
      </c>
      <c r="V19" t="s">
        <v>139</v>
      </c>
      <c r="W19" t="s">
        <v>140</v>
      </c>
      <c r="X19" t="s">
        <v>140</v>
      </c>
      <c r="Y19" t="s">
        <v>140</v>
      </c>
      <c r="Z19" t="s">
        <v>433</v>
      </c>
      <c r="AA19">
        <v>2025</v>
      </c>
      <c r="AB19" t="s">
        <v>434</v>
      </c>
      <c r="AC19">
        <v>19936</v>
      </c>
      <c r="AD19" t="s">
        <v>652</v>
      </c>
      <c r="AE19" t="s">
        <v>426</v>
      </c>
      <c r="AF19" t="s">
        <v>653</v>
      </c>
      <c r="AG19">
        <v>11047360</v>
      </c>
      <c r="AH19" t="s">
        <v>654</v>
      </c>
      <c r="AI19" t="s">
        <v>426</v>
      </c>
      <c r="AJ19">
        <v>0</v>
      </c>
      <c r="AK19" t="s">
        <v>437</v>
      </c>
      <c r="AL19" t="s">
        <v>654</v>
      </c>
      <c r="AM19" t="s">
        <v>481</v>
      </c>
      <c r="AN19" t="s">
        <v>439</v>
      </c>
      <c r="AO19" t="s">
        <v>426</v>
      </c>
      <c r="AP19">
        <v>0</v>
      </c>
      <c r="AQ19">
        <v>12640000</v>
      </c>
      <c r="AR19">
        <v>-1295462</v>
      </c>
      <c r="AS19">
        <v>0</v>
      </c>
      <c r="AT19">
        <v>11344538</v>
      </c>
      <c r="AU19">
        <v>9797360</v>
      </c>
      <c r="AV19">
        <v>1547178</v>
      </c>
      <c r="AW19" t="s">
        <v>655</v>
      </c>
      <c r="AX19">
        <v>0</v>
      </c>
      <c r="AY19">
        <v>0</v>
      </c>
      <c r="AZ19">
        <v>0</v>
      </c>
      <c r="BA19">
        <v>0</v>
      </c>
      <c r="BB19" t="s">
        <v>441</v>
      </c>
      <c r="BC19">
        <v>0</v>
      </c>
      <c r="BD19">
        <v>0</v>
      </c>
      <c r="BE19">
        <v>0</v>
      </c>
      <c r="BF19">
        <v>0</v>
      </c>
      <c r="BG19" t="s">
        <v>441</v>
      </c>
      <c r="BH19">
        <v>0</v>
      </c>
      <c r="BI19">
        <v>0</v>
      </c>
      <c r="BJ19">
        <v>0</v>
      </c>
      <c r="BK19">
        <v>0</v>
      </c>
      <c r="BL19" t="s">
        <v>441</v>
      </c>
      <c r="BM19">
        <v>11344538</v>
      </c>
      <c r="BN19">
        <v>11344538</v>
      </c>
      <c r="BO19">
        <v>9797360</v>
      </c>
      <c r="BP19">
        <v>1547178</v>
      </c>
      <c r="BQ19" t="s">
        <v>655</v>
      </c>
      <c r="BR19">
        <v>1547178</v>
      </c>
      <c r="BS19" t="s">
        <v>655</v>
      </c>
      <c r="BT19">
        <v>0</v>
      </c>
      <c r="BU19">
        <v>0</v>
      </c>
      <c r="BV19">
        <v>13500000</v>
      </c>
      <c r="BW19">
        <v>0</v>
      </c>
      <c r="BX19">
        <v>0</v>
      </c>
      <c r="BY19">
        <v>0</v>
      </c>
      <c r="BZ19">
        <v>13500000</v>
      </c>
      <c r="CA19">
        <v>11344538</v>
      </c>
      <c r="CB19" s="2">
        <v>1547178</v>
      </c>
      <c r="CC19" t="s">
        <v>655</v>
      </c>
      <c r="CD19" t="s">
        <v>426</v>
      </c>
      <c r="CE19">
        <v>0</v>
      </c>
      <c r="CF19" t="s">
        <v>426</v>
      </c>
      <c r="CG19">
        <v>0</v>
      </c>
      <c r="CH19">
        <v>1487500</v>
      </c>
      <c r="CI19">
        <v>0</v>
      </c>
      <c r="CJ19" t="s">
        <v>426</v>
      </c>
    </row>
    <row r="20" spans="1:88">
      <c r="A20" t="s">
        <v>4</v>
      </c>
      <c r="B20" t="s">
        <v>8</v>
      </c>
      <c r="C20" t="s">
        <v>656</v>
      </c>
      <c r="D20">
        <v>5927</v>
      </c>
      <c r="E20" t="s">
        <v>141</v>
      </c>
      <c r="F20">
        <v>8669391</v>
      </c>
      <c r="G20" t="s">
        <v>592</v>
      </c>
      <c r="H20" t="s">
        <v>657</v>
      </c>
      <c r="I20" t="s">
        <v>426</v>
      </c>
      <c r="J20" t="s">
        <v>658</v>
      </c>
      <c r="K20" t="s">
        <v>426</v>
      </c>
      <c r="L20" t="s">
        <v>659</v>
      </c>
      <c r="M20" t="s">
        <v>475</v>
      </c>
      <c r="N20" t="s">
        <v>660</v>
      </c>
      <c r="O20" t="s">
        <v>426</v>
      </c>
      <c r="P20" t="s">
        <v>430</v>
      </c>
      <c r="Q20" t="s">
        <v>6</v>
      </c>
      <c r="R20" t="s">
        <v>431</v>
      </c>
      <c r="S20" t="s">
        <v>25</v>
      </c>
      <c r="T20" t="s">
        <v>432</v>
      </c>
      <c r="U20" t="s">
        <v>22</v>
      </c>
      <c r="V20" t="s">
        <v>142</v>
      </c>
      <c r="W20" t="s">
        <v>143</v>
      </c>
      <c r="X20" t="s">
        <v>143</v>
      </c>
      <c r="Y20" t="s">
        <v>143</v>
      </c>
      <c r="Z20" t="s">
        <v>433</v>
      </c>
      <c r="AA20">
        <v>2025</v>
      </c>
      <c r="AB20" t="s">
        <v>434</v>
      </c>
      <c r="AC20">
        <v>19879</v>
      </c>
      <c r="AD20" t="s">
        <v>661</v>
      </c>
      <c r="AE20" t="s">
        <v>426</v>
      </c>
      <c r="AF20" t="s">
        <v>662</v>
      </c>
      <c r="AG20">
        <v>16812766</v>
      </c>
      <c r="AH20" t="s">
        <v>663</v>
      </c>
      <c r="AI20" t="s">
        <v>426</v>
      </c>
      <c r="AJ20">
        <v>0</v>
      </c>
      <c r="AK20" t="s">
        <v>565</v>
      </c>
      <c r="AL20" t="s">
        <v>663</v>
      </c>
      <c r="AM20" t="s">
        <v>566</v>
      </c>
      <c r="AN20" t="s">
        <v>439</v>
      </c>
      <c r="AO20" t="s">
        <v>426</v>
      </c>
      <c r="AP20">
        <v>111</v>
      </c>
      <c r="AQ20">
        <v>18058824</v>
      </c>
      <c r="AR20">
        <v>-2773109</v>
      </c>
      <c r="AS20">
        <v>-621849</v>
      </c>
      <c r="AT20">
        <v>14663866</v>
      </c>
      <c r="AU20">
        <v>16812766</v>
      </c>
      <c r="AV20">
        <v>-2148900</v>
      </c>
      <c r="AW20" t="s">
        <v>664</v>
      </c>
      <c r="AX20">
        <v>0</v>
      </c>
      <c r="AY20">
        <v>764231</v>
      </c>
      <c r="AZ20">
        <v>764231</v>
      </c>
      <c r="BA20">
        <v>0</v>
      </c>
      <c r="BB20" t="s">
        <v>441</v>
      </c>
      <c r="BC20">
        <v>0</v>
      </c>
      <c r="BD20">
        <v>0</v>
      </c>
      <c r="BE20">
        <v>0</v>
      </c>
      <c r="BF20">
        <v>0</v>
      </c>
      <c r="BG20" t="s">
        <v>441</v>
      </c>
      <c r="BH20">
        <v>0</v>
      </c>
      <c r="BI20">
        <v>0</v>
      </c>
      <c r="BJ20">
        <v>0</v>
      </c>
      <c r="BK20">
        <v>0</v>
      </c>
      <c r="BL20" t="s">
        <v>441</v>
      </c>
      <c r="BM20">
        <v>15285715</v>
      </c>
      <c r="BN20">
        <v>15428097</v>
      </c>
      <c r="BO20">
        <v>17576997</v>
      </c>
      <c r="BP20">
        <v>-2148900</v>
      </c>
      <c r="BQ20" t="s">
        <v>665</v>
      </c>
      <c r="BR20">
        <v>-2148900</v>
      </c>
      <c r="BS20" t="s">
        <v>665</v>
      </c>
      <c r="BT20">
        <v>0</v>
      </c>
      <c r="BU20">
        <v>0</v>
      </c>
      <c r="BV20">
        <v>18214231</v>
      </c>
      <c r="BW20">
        <v>0</v>
      </c>
      <c r="BX20">
        <v>764231</v>
      </c>
      <c r="BY20">
        <v>0</v>
      </c>
      <c r="BZ20">
        <v>18214232</v>
      </c>
      <c r="CA20">
        <v>15428097</v>
      </c>
      <c r="CB20" s="2">
        <v>-2148900</v>
      </c>
      <c r="CC20" t="s">
        <v>665</v>
      </c>
      <c r="CD20" t="s">
        <v>426</v>
      </c>
      <c r="CE20">
        <v>0</v>
      </c>
      <c r="CF20" t="s">
        <v>426</v>
      </c>
      <c r="CG20">
        <v>0</v>
      </c>
      <c r="CH20">
        <v>0</v>
      </c>
      <c r="CI20">
        <v>0</v>
      </c>
      <c r="CJ20" t="s">
        <v>426</v>
      </c>
    </row>
    <row r="21" spans="1:88">
      <c r="A21" t="s">
        <v>4</v>
      </c>
      <c r="B21" t="s">
        <v>5</v>
      </c>
      <c r="C21" t="s">
        <v>666</v>
      </c>
      <c r="D21">
        <v>5931</v>
      </c>
      <c r="E21" t="s">
        <v>74</v>
      </c>
      <c r="F21">
        <v>6506064</v>
      </c>
      <c r="G21" t="s">
        <v>592</v>
      </c>
      <c r="H21" t="s">
        <v>667</v>
      </c>
      <c r="I21" t="s">
        <v>668</v>
      </c>
      <c r="J21" t="s">
        <v>426</v>
      </c>
      <c r="K21" t="s">
        <v>426</v>
      </c>
      <c r="L21" t="s">
        <v>447</v>
      </c>
      <c r="M21" t="s">
        <v>669</v>
      </c>
      <c r="N21" t="s">
        <v>670</v>
      </c>
      <c r="O21" t="s">
        <v>426</v>
      </c>
      <c r="P21" t="s">
        <v>463</v>
      </c>
      <c r="Q21" t="s">
        <v>6</v>
      </c>
      <c r="R21" t="s">
        <v>464</v>
      </c>
      <c r="S21" t="s">
        <v>10</v>
      </c>
      <c r="T21" t="s">
        <v>606</v>
      </c>
      <c r="U21" t="s">
        <v>11</v>
      </c>
      <c r="V21" t="s">
        <v>75</v>
      </c>
      <c r="W21" t="s">
        <v>76</v>
      </c>
      <c r="X21" t="s">
        <v>76</v>
      </c>
      <c r="Y21" t="s">
        <v>426</v>
      </c>
      <c r="Z21" t="s">
        <v>433</v>
      </c>
      <c r="AA21">
        <v>2025</v>
      </c>
      <c r="AB21" t="s">
        <v>434</v>
      </c>
      <c r="AC21">
        <v>19883</v>
      </c>
      <c r="AD21" t="s">
        <v>671</v>
      </c>
      <c r="AE21" t="s">
        <v>426</v>
      </c>
      <c r="AF21" t="s">
        <v>672</v>
      </c>
      <c r="AG21">
        <v>23804093</v>
      </c>
      <c r="AH21" t="s">
        <v>671</v>
      </c>
      <c r="AI21" t="s">
        <v>426</v>
      </c>
      <c r="AJ21">
        <v>0</v>
      </c>
      <c r="AK21" t="s">
        <v>437</v>
      </c>
      <c r="AL21" t="s">
        <v>671</v>
      </c>
      <c r="AM21" t="s">
        <v>438</v>
      </c>
      <c r="AN21" t="s">
        <v>439</v>
      </c>
      <c r="AO21" t="s">
        <v>426</v>
      </c>
      <c r="AP21">
        <v>0</v>
      </c>
      <c r="AQ21">
        <v>25789916</v>
      </c>
      <c r="AR21">
        <v>-2436975</v>
      </c>
      <c r="AS21">
        <v>-504202</v>
      </c>
      <c r="AT21">
        <v>22848740</v>
      </c>
      <c r="AU21">
        <v>23804093</v>
      </c>
      <c r="AV21">
        <v>-955353</v>
      </c>
      <c r="AW21" t="s">
        <v>673</v>
      </c>
      <c r="AX21">
        <v>0</v>
      </c>
      <c r="AY21">
        <v>1592887</v>
      </c>
      <c r="AZ21">
        <v>1592887</v>
      </c>
      <c r="BA21">
        <v>0</v>
      </c>
      <c r="BB21" t="s">
        <v>441</v>
      </c>
      <c r="BC21">
        <v>0</v>
      </c>
      <c r="BD21">
        <v>0</v>
      </c>
      <c r="BE21">
        <v>0</v>
      </c>
      <c r="BF21">
        <v>0</v>
      </c>
      <c r="BG21" t="s">
        <v>441</v>
      </c>
      <c r="BH21">
        <v>0</v>
      </c>
      <c r="BI21">
        <v>0</v>
      </c>
      <c r="BJ21">
        <v>0</v>
      </c>
      <c r="BK21">
        <v>0</v>
      </c>
      <c r="BL21" t="s">
        <v>441</v>
      </c>
      <c r="BM21">
        <v>23352941</v>
      </c>
      <c r="BN21">
        <v>24441627</v>
      </c>
      <c r="BO21">
        <v>25396980</v>
      </c>
      <c r="BP21">
        <v>-955353</v>
      </c>
      <c r="BQ21" t="s">
        <v>674</v>
      </c>
      <c r="BR21">
        <v>-955353</v>
      </c>
      <c r="BS21" t="s">
        <v>674</v>
      </c>
      <c r="BT21">
        <v>0</v>
      </c>
      <c r="BU21">
        <v>0</v>
      </c>
      <c r="BV21">
        <v>28782887</v>
      </c>
      <c r="BW21">
        <v>0</v>
      </c>
      <c r="BX21">
        <v>1592887</v>
      </c>
      <c r="BY21">
        <v>0</v>
      </c>
      <c r="BZ21">
        <v>28782888</v>
      </c>
      <c r="CA21">
        <v>24441627</v>
      </c>
      <c r="CB21" s="2">
        <v>-955353</v>
      </c>
      <c r="CC21" t="s">
        <v>674</v>
      </c>
      <c r="CD21" t="s">
        <v>426</v>
      </c>
      <c r="CE21">
        <v>0</v>
      </c>
      <c r="CF21" t="s">
        <v>426</v>
      </c>
      <c r="CG21">
        <v>0</v>
      </c>
      <c r="CH21">
        <v>0</v>
      </c>
      <c r="CI21">
        <v>0</v>
      </c>
      <c r="CJ21" t="s">
        <v>426</v>
      </c>
    </row>
    <row r="22" spans="1:88">
      <c r="A22" t="s">
        <v>4</v>
      </c>
      <c r="B22" t="s">
        <v>5</v>
      </c>
      <c r="C22" t="s">
        <v>675</v>
      </c>
      <c r="D22">
        <v>5934</v>
      </c>
      <c r="E22" t="s">
        <v>77</v>
      </c>
      <c r="F22">
        <v>86868900</v>
      </c>
      <c r="G22" t="s">
        <v>676</v>
      </c>
      <c r="H22" t="s">
        <v>677</v>
      </c>
      <c r="I22" t="s">
        <v>678</v>
      </c>
      <c r="J22" t="s">
        <v>426</v>
      </c>
      <c r="K22" t="s">
        <v>426</v>
      </c>
      <c r="L22" t="s">
        <v>427</v>
      </c>
      <c r="M22" t="s">
        <v>475</v>
      </c>
      <c r="N22" t="s">
        <v>679</v>
      </c>
      <c r="O22" t="s">
        <v>426</v>
      </c>
      <c r="P22" t="s">
        <v>490</v>
      </c>
      <c r="Q22" t="s">
        <v>6</v>
      </c>
      <c r="R22" t="s">
        <v>464</v>
      </c>
      <c r="S22" t="s">
        <v>15</v>
      </c>
      <c r="T22" t="s">
        <v>680</v>
      </c>
      <c r="U22" t="s">
        <v>7</v>
      </c>
      <c r="V22" t="s">
        <v>78</v>
      </c>
      <c r="W22" t="s">
        <v>79</v>
      </c>
      <c r="X22" t="s">
        <v>79</v>
      </c>
      <c r="Y22" t="s">
        <v>79</v>
      </c>
      <c r="Z22" t="s">
        <v>433</v>
      </c>
      <c r="AA22">
        <v>2025</v>
      </c>
      <c r="AB22" t="s">
        <v>584</v>
      </c>
      <c r="AC22">
        <v>19884</v>
      </c>
      <c r="AD22" t="s">
        <v>671</v>
      </c>
      <c r="AE22" t="s">
        <v>426</v>
      </c>
      <c r="AF22" t="s">
        <v>681</v>
      </c>
      <c r="AG22">
        <v>13054340</v>
      </c>
      <c r="AH22" t="s">
        <v>671</v>
      </c>
      <c r="AI22" t="s">
        <v>426</v>
      </c>
      <c r="AJ22">
        <v>0</v>
      </c>
      <c r="AK22" t="s">
        <v>437</v>
      </c>
      <c r="AL22" t="s">
        <v>671</v>
      </c>
      <c r="AM22" t="s">
        <v>499</v>
      </c>
      <c r="AN22" t="s">
        <v>439</v>
      </c>
      <c r="AO22" t="s">
        <v>426</v>
      </c>
      <c r="AP22">
        <v>0</v>
      </c>
      <c r="AQ22">
        <v>15340000</v>
      </c>
      <c r="AR22">
        <v>-1450000</v>
      </c>
      <c r="AS22">
        <v>-920400</v>
      </c>
      <c r="AT22">
        <v>12969600</v>
      </c>
      <c r="AU22">
        <v>11854340</v>
      </c>
      <c r="AV22">
        <v>1115260</v>
      </c>
      <c r="AW22" t="s">
        <v>682</v>
      </c>
      <c r="AX22">
        <v>0</v>
      </c>
      <c r="AY22">
        <v>485138</v>
      </c>
      <c r="AZ22">
        <v>485138</v>
      </c>
      <c r="BA22">
        <v>0</v>
      </c>
      <c r="BB22" t="s">
        <v>441</v>
      </c>
      <c r="BC22">
        <v>0</v>
      </c>
      <c r="BD22">
        <v>0</v>
      </c>
      <c r="BE22">
        <v>0</v>
      </c>
      <c r="BF22">
        <v>0</v>
      </c>
      <c r="BG22" t="s">
        <v>441</v>
      </c>
      <c r="BH22">
        <v>0</v>
      </c>
      <c r="BI22">
        <v>0</v>
      </c>
      <c r="BJ22">
        <v>0</v>
      </c>
      <c r="BK22">
        <v>0</v>
      </c>
      <c r="BL22" t="s">
        <v>441</v>
      </c>
      <c r="BM22">
        <v>13890000</v>
      </c>
      <c r="BN22">
        <v>13454738</v>
      </c>
      <c r="BO22">
        <v>12339478</v>
      </c>
      <c r="BP22">
        <v>1115260</v>
      </c>
      <c r="BQ22" t="s">
        <v>623</v>
      </c>
      <c r="BR22">
        <v>1115260</v>
      </c>
      <c r="BS22" t="s">
        <v>623</v>
      </c>
      <c r="BT22">
        <v>0</v>
      </c>
      <c r="BU22">
        <v>0</v>
      </c>
      <c r="BV22">
        <v>15918962</v>
      </c>
      <c r="BW22">
        <v>0</v>
      </c>
      <c r="BX22">
        <v>485138</v>
      </c>
      <c r="BY22">
        <v>0</v>
      </c>
      <c r="BZ22">
        <v>15918962</v>
      </c>
      <c r="CA22">
        <v>13454738</v>
      </c>
      <c r="CB22" s="2">
        <v>1115260</v>
      </c>
      <c r="CC22" t="s">
        <v>623</v>
      </c>
      <c r="CD22" t="s">
        <v>426</v>
      </c>
      <c r="CE22">
        <v>0</v>
      </c>
      <c r="CF22" t="s">
        <v>426</v>
      </c>
      <c r="CG22">
        <v>0</v>
      </c>
      <c r="CH22">
        <v>1428000</v>
      </c>
      <c r="CI22">
        <v>0</v>
      </c>
      <c r="CJ22" t="s">
        <v>426</v>
      </c>
    </row>
    <row r="23" spans="1:88">
      <c r="A23" t="s">
        <v>4</v>
      </c>
      <c r="B23" t="s">
        <v>30</v>
      </c>
      <c r="C23" t="s">
        <v>683</v>
      </c>
      <c r="D23">
        <v>5937</v>
      </c>
      <c r="E23" t="s">
        <v>80</v>
      </c>
      <c r="F23">
        <v>5388894</v>
      </c>
      <c r="G23" t="s">
        <v>503</v>
      </c>
      <c r="H23" t="s">
        <v>684</v>
      </c>
      <c r="I23" t="s">
        <v>685</v>
      </c>
      <c r="J23" t="s">
        <v>426</v>
      </c>
      <c r="K23" t="s">
        <v>426</v>
      </c>
      <c r="L23" t="s">
        <v>603</v>
      </c>
      <c r="M23" t="s">
        <v>686</v>
      </c>
      <c r="N23" t="s">
        <v>687</v>
      </c>
      <c r="O23" t="s">
        <v>426</v>
      </c>
      <c r="P23" t="s">
        <v>509</v>
      </c>
      <c r="Q23" t="s">
        <v>6</v>
      </c>
      <c r="R23" t="s">
        <v>688</v>
      </c>
      <c r="S23" t="s">
        <v>81</v>
      </c>
      <c r="T23" t="s">
        <v>689</v>
      </c>
      <c r="U23" t="s">
        <v>11</v>
      </c>
      <c r="V23" t="s">
        <v>82</v>
      </c>
      <c r="W23" t="s">
        <v>83</v>
      </c>
      <c r="X23" t="s">
        <v>83</v>
      </c>
      <c r="Y23" t="s">
        <v>83</v>
      </c>
      <c r="Z23" t="s">
        <v>433</v>
      </c>
      <c r="AA23">
        <v>2024</v>
      </c>
      <c r="AB23" t="s">
        <v>434</v>
      </c>
      <c r="AC23">
        <v>19888</v>
      </c>
      <c r="AD23" t="s">
        <v>690</v>
      </c>
      <c r="AE23" t="s">
        <v>426</v>
      </c>
      <c r="AF23" t="s">
        <v>691</v>
      </c>
      <c r="AG23">
        <v>14445294</v>
      </c>
      <c r="AH23" t="s">
        <v>690</v>
      </c>
      <c r="AI23" t="s">
        <v>426</v>
      </c>
      <c r="AJ23">
        <v>0</v>
      </c>
      <c r="AK23" t="s">
        <v>533</v>
      </c>
      <c r="AL23" t="s">
        <v>690</v>
      </c>
      <c r="AM23" t="s">
        <v>438</v>
      </c>
      <c r="AN23" t="s">
        <v>439</v>
      </c>
      <c r="AO23" t="s">
        <v>692</v>
      </c>
      <c r="AP23">
        <v>414</v>
      </c>
      <c r="AQ23">
        <v>15873950</v>
      </c>
      <c r="AR23">
        <v>-4117647</v>
      </c>
      <c r="AS23">
        <v>-274736</v>
      </c>
      <c r="AT23">
        <v>11481566</v>
      </c>
      <c r="AU23">
        <v>14445294</v>
      </c>
      <c r="AV23">
        <v>-2963728</v>
      </c>
      <c r="AW23" t="s">
        <v>693</v>
      </c>
      <c r="AX23">
        <v>0</v>
      </c>
      <c r="AY23">
        <v>326936</v>
      </c>
      <c r="AZ23">
        <v>326936</v>
      </c>
      <c r="BA23">
        <v>0</v>
      </c>
      <c r="BB23" t="s">
        <v>441</v>
      </c>
      <c r="BC23">
        <v>0</v>
      </c>
      <c r="BD23">
        <v>0</v>
      </c>
      <c r="BE23">
        <v>0</v>
      </c>
      <c r="BF23">
        <v>0</v>
      </c>
      <c r="BG23" t="s">
        <v>441</v>
      </c>
      <c r="BH23">
        <v>0</v>
      </c>
      <c r="BI23">
        <v>0</v>
      </c>
      <c r="BJ23">
        <v>0</v>
      </c>
      <c r="BK23">
        <v>0</v>
      </c>
      <c r="BL23" t="s">
        <v>441</v>
      </c>
      <c r="BM23">
        <v>11756303</v>
      </c>
      <c r="BN23">
        <v>11808502</v>
      </c>
      <c r="BO23">
        <v>14772230</v>
      </c>
      <c r="BP23">
        <v>-2963728</v>
      </c>
      <c r="BQ23" t="s">
        <v>694</v>
      </c>
      <c r="BR23">
        <v>-2963728</v>
      </c>
      <c r="BS23" t="s">
        <v>694</v>
      </c>
      <c r="BT23">
        <v>0</v>
      </c>
      <c r="BU23">
        <v>2200000</v>
      </c>
      <c r="BV23">
        <v>11790000</v>
      </c>
      <c r="BW23">
        <v>0</v>
      </c>
      <c r="BX23">
        <v>326936</v>
      </c>
      <c r="BY23">
        <v>0</v>
      </c>
      <c r="BZ23">
        <v>13990000</v>
      </c>
      <c r="CA23">
        <v>11808502</v>
      </c>
      <c r="CB23" s="2">
        <v>-2963728</v>
      </c>
      <c r="CC23" t="s">
        <v>694</v>
      </c>
      <c r="CD23" t="s">
        <v>426</v>
      </c>
      <c r="CE23">
        <v>0</v>
      </c>
      <c r="CF23" t="s">
        <v>426</v>
      </c>
      <c r="CG23">
        <v>0</v>
      </c>
      <c r="CH23">
        <v>0</v>
      </c>
      <c r="CI23">
        <v>0</v>
      </c>
      <c r="CJ23" t="s">
        <v>426</v>
      </c>
    </row>
    <row r="24" spans="1:88">
      <c r="A24" t="s">
        <v>4</v>
      </c>
      <c r="B24" t="s">
        <v>8</v>
      </c>
      <c r="C24" t="s">
        <v>695</v>
      </c>
      <c r="D24">
        <v>5938</v>
      </c>
      <c r="E24" t="s">
        <v>67</v>
      </c>
      <c r="F24">
        <v>76257832</v>
      </c>
      <c r="G24" t="s">
        <v>537</v>
      </c>
      <c r="H24" t="s">
        <v>538</v>
      </c>
      <c r="I24" t="s">
        <v>426</v>
      </c>
      <c r="J24" t="s">
        <v>539</v>
      </c>
      <c r="K24" t="s">
        <v>426</v>
      </c>
      <c r="L24" t="s">
        <v>540</v>
      </c>
      <c r="M24" t="s">
        <v>475</v>
      </c>
      <c r="N24" t="s">
        <v>541</v>
      </c>
      <c r="O24" t="s">
        <v>426</v>
      </c>
      <c r="P24" t="s">
        <v>490</v>
      </c>
      <c r="Q24" t="s">
        <v>6</v>
      </c>
      <c r="R24" t="s">
        <v>491</v>
      </c>
      <c r="S24" t="s">
        <v>24</v>
      </c>
      <c r="T24" t="s">
        <v>492</v>
      </c>
      <c r="U24" t="s">
        <v>7</v>
      </c>
      <c r="V24" t="s">
        <v>68</v>
      </c>
      <c r="W24" t="s">
        <v>69</v>
      </c>
      <c r="X24" t="s">
        <v>69</v>
      </c>
      <c r="Y24" t="s">
        <v>69</v>
      </c>
      <c r="Z24" t="s">
        <v>433</v>
      </c>
      <c r="AA24">
        <v>2025</v>
      </c>
      <c r="AB24" t="s">
        <v>584</v>
      </c>
      <c r="AC24">
        <v>19906</v>
      </c>
      <c r="AD24" t="s">
        <v>696</v>
      </c>
      <c r="AE24" t="s">
        <v>426</v>
      </c>
      <c r="AF24" t="s">
        <v>697</v>
      </c>
      <c r="AG24">
        <v>11047360</v>
      </c>
      <c r="AH24" t="s">
        <v>696</v>
      </c>
      <c r="AI24" t="s">
        <v>426</v>
      </c>
      <c r="AJ24">
        <v>0</v>
      </c>
      <c r="AK24" t="s">
        <v>437</v>
      </c>
      <c r="AL24" t="s">
        <v>696</v>
      </c>
      <c r="AM24" t="s">
        <v>481</v>
      </c>
      <c r="AN24" t="s">
        <v>439</v>
      </c>
      <c r="AO24" t="s">
        <v>426</v>
      </c>
      <c r="AP24">
        <v>98</v>
      </c>
      <c r="AQ24">
        <v>12640000</v>
      </c>
      <c r="AR24">
        <v>-1250000</v>
      </c>
      <c r="AS24">
        <v>-758067</v>
      </c>
      <c r="AT24">
        <v>10631933</v>
      </c>
      <c r="AU24">
        <v>11047360</v>
      </c>
      <c r="AV24">
        <v>-415427</v>
      </c>
      <c r="AW24" t="s">
        <v>674</v>
      </c>
      <c r="AX24">
        <v>0</v>
      </c>
      <c r="AY24">
        <v>407238</v>
      </c>
      <c r="AZ24">
        <v>407238</v>
      </c>
      <c r="BA24">
        <v>0</v>
      </c>
      <c r="BB24" t="s">
        <v>441</v>
      </c>
      <c r="BC24">
        <v>0</v>
      </c>
      <c r="BD24">
        <v>0</v>
      </c>
      <c r="BE24">
        <v>0</v>
      </c>
      <c r="BF24">
        <v>0</v>
      </c>
      <c r="BG24" t="s">
        <v>441</v>
      </c>
      <c r="BH24">
        <v>0</v>
      </c>
      <c r="BI24">
        <v>0</v>
      </c>
      <c r="BJ24">
        <v>0</v>
      </c>
      <c r="BK24">
        <v>0</v>
      </c>
      <c r="BL24" t="s">
        <v>441</v>
      </c>
      <c r="BM24">
        <v>11390000</v>
      </c>
      <c r="BN24">
        <v>11039171</v>
      </c>
      <c r="BO24">
        <v>11454598</v>
      </c>
      <c r="BP24">
        <v>-415427</v>
      </c>
      <c r="BQ24" t="s">
        <v>698</v>
      </c>
      <c r="BR24">
        <v>-415427</v>
      </c>
      <c r="BS24" t="s">
        <v>698</v>
      </c>
      <c r="BT24">
        <v>0</v>
      </c>
      <c r="BU24">
        <v>0</v>
      </c>
      <c r="BV24">
        <v>13059238</v>
      </c>
      <c r="BW24">
        <v>0</v>
      </c>
      <c r="BX24">
        <v>407238</v>
      </c>
      <c r="BY24">
        <v>0</v>
      </c>
      <c r="BZ24">
        <v>13059238</v>
      </c>
      <c r="CA24">
        <v>11039171</v>
      </c>
      <c r="CB24" s="2">
        <v>-415427</v>
      </c>
      <c r="CC24" t="s">
        <v>698</v>
      </c>
      <c r="CD24" t="s">
        <v>426</v>
      </c>
      <c r="CE24">
        <v>0</v>
      </c>
      <c r="CF24" t="s">
        <v>426</v>
      </c>
      <c r="CG24">
        <v>0</v>
      </c>
      <c r="CH24">
        <v>0</v>
      </c>
      <c r="CI24">
        <v>0</v>
      </c>
      <c r="CJ24" t="s">
        <v>426</v>
      </c>
    </row>
    <row r="25" spans="1:88">
      <c r="A25" t="s">
        <v>4</v>
      </c>
      <c r="B25" t="s">
        <v>5</v>
      </c>
      <c r="C25" t="s">
        <v>699</v>
      </c>
      <c r="D25">
        <v>5946</v>
      </c>
      <c r="E25" t="s">
        <v>70</v>
      </c>
      <c r="F25">
        <v>76431332</v>
      </c>
      <c r="G25" t="s">
        <v>503</v>
      </c>
      <c r="H25" t="s">
        <v>700</v>
      </c>
      <c r="I25" t="s">
        <v>701</v>
      </c>
      <c r="J25" t="s">
        <v>426</v>
      </c>
      <c r="K25" t="s">
        <v>426</v>
      </c>
      <c r="L25" t="s">
        <v>474</v>
      </c>
      <c r="M25" t="s">
        <v>426</v>
      </c>
      <c r="N25" t="s">
        <v>702</v>
      </c>
      <c r="O25" t="s">
        <v>426</v>
      </c>
      <c r="P25" t="s">
        <v>490</v>
      </c>
      <c r="Q25" t="s">
        <v>6</v>
      </c>
      <c r="R25" t="s">
        <v>491</v>
      </c>
      <c r="S25" t="s">
        <v>71</v>
      </c>
      <c r="T25" t="s">
        <v>642</v>
      </c>
      <c r="U25" t="s">
        <v>7</v>
      </c>
      <c r="V25" t="s">
        <v>72</v>
      </c>
      <c r="W25" t="s">
        <v>73</v>
      </c>
      <c r="X25" t="s">
        <v>73</v>
      </c>
      <c r="Y25" t="s">
        <v>73</v>
      </c>
      <c r="Z25" t="s">
        <v>433</v>
      </c>
      <c r="AA25">
        <v>2025</v>
      </c>
      <c r="AB25" t="s">
        <v>434</v>
      </c>
      <c r="AC25">
        <v>19943</v>
      </c>
      <c r="AD25" t="s">
        <v>703</v>
      </c>
      <c r="AE25" t="s">
        <v>426</v>
      </c>
      <c r="AF25" t="s">
        <v>704</v>
      </c>
      <c r="AG25">
        <v>12096160</v>
      </c>
      <c r="AH25" t="s">
        <v>705</v>
      </c>
      <c r="AI25" t="s">
        <v>426</v>
      </c>
      <c r="AJ25">
        <v>0</v>
      </c>
      <c r="AK25" t="s">
        <v>437</v>
      </c>
      <c r="AL25" t="s">
        <v>705</v>
      </c>
      <c r="AM25" t="s">
        <v>499</v>
      </c>
      <c r="AN25" t="s">
        <v>439</v>
      </c>
      <c r="AO25" t="s">
        <v>706</v>
      </c>
      <c r="AP25">
        <v>98</v>
      </c>
      <c r="AQ25">
        <v>13840000</v>
      </c>
      <c r="AR25">
        <v>-2150000</v>
      </c>
      <c r="AS25">
        <v>-942101</v>
      </c>
      <c r="AT25">
        <v>10747899</v>
      </c>
      <c r="AU25">
        <v>10746160</v>
      </c>
      <c r="AV25">
        <v>1739</v>
      </c>
      <c r="AW25" t="s">
        <v>707</v>
      </c>
      <c r="AX25">
        <v>0</v>
      </c>
      <c r="AY25">
        <v>328487</v>
      </c>
      <c r="AZ25">
        <v>328487</v>
      </c>
      <c r="BA25">
        <v>0</v>
      </c>
      <c r="BB25" t="s">
        <v>441</v>
      </c>
      <c r="BC25">
        <v>0</v>
      </c>
      <c r="BD25">
        <v>0</v>
      </c>
      <c r="BE25">
        <v>0</v>
      </c>
      <c r="BF25">
        <v>0</v>
      </c>
      <c r="BG25" t="s">
        <v>441</v>
      </c>
      <c r="BH25">
        <v>0</v>
      </c>
      <c r="BI25">
        <v>0</v>
      </c>
      <c r="BJ25">
        <v>0</v>
      </c>
      <c r="BK25">
        <v>0</v>
      </c>
      <c r="BL25" t="s">
        <v>441</v>
      </c>
      <c r="BM25">
        <v>11690000</v>
      </c>
      <c r="BN25">
        <v>11076386</v>
      </c>
      <c r="BO25">
        <v>11074647</v>
      </c>
      <c r="BP25">
        <v>1739</v>
      </c>
      <c r="BQ25" t="s">
        <v>707</v>
      </c>
      <c r="BR25">
        <v>1739</v>
      </c>
      <c r="BS25" t="s">
        <v>707</v>
      </c>
      <c r="BT25">
        <v>0</v>
      </c>
      <c r="BU25">
        <v>9000000</v>
      </c>
      <c r="BV25">
        <v>10709913</v>
      </c>
      <c r="BW25">
        <v>-6591426</v>
      </c>
      <c r="BX25">
        <v>328487</v>
      </c>
      <c r="BY25">
        <v>0</v>
      </c>
      <c r="BZ25">
        <v>13118487</v>
      </c>
      <c r="CA25">
        <v>11076386</v>
      </c>
      <c r="CB25" s="2">
        <v>1739</v>
      </c>
      <c r="CC25" t="s">
        <v>707</v>
      </c>
      <c r="CD25" t="s">
        <v>426</v>
      </c>
      <c r="CE25">
        <v>0</v>
      </c>
      <c r="CF25" t="s">
        <v>426</v>
      </c>
      <c r="CG25">
        <v>0</v>
      </c>
      <c r="CH25">
        <v>1606500</v>
      </c>
      <c r="CI25">
        <v>0</v>
      </c>
      <c r="CJ25" t="s">
        <v>426</v>
      </c>
    </row>
    <row r="26" spans="1:88">
      <c r="A26" t="s">
        <v>4</v>
      </c>
      <c r="B26" t="s">
        <v>5</v>
      </c>
      <c r="C26" t="s">
        <v>708</v>
      </c>
      <c r="D26">
        <v>5947</v>
      </c>
      <c r="E26" t="s">
        <v>70</v>
      </c>
      <c r="F26">
        <v>76431332</v>
      </c>
      <c r="G26" t="s">
        <v>503</v>
      </c>
      <c r="H26" t="s">
        <v>700</v>
      </c>
      <c r="I26" t="s">
        <v>701</v>
      </c>
      <c r="J26" t="s">
        <v>426</v>
      </c>
      <c r="K26" t="s">
        <v>426</v>
      </c>
      <c r="L26" t="s">
        <v>474</v>
      </c>
      <c r="M26" t="s">
        <v>426</v>
      </c>
      <c r="N26" t="s">
        <v>702</v>
      </c>
      <c r="O26" t="s">
        <v>426</v>
      </c>
      <c r="P26" t="s">
        <v>490</v>
      </c>
      <c r="Q26" t="s">
        <v>6</v>
      </c>
      <c r="R26" t="s">
        <v>491</v>
      </c>
      <c r="S26" t="s">
        <v>24</v>
      </c>
      <c r="T26" t="s">
        <v>492</v>
      </c>
      <c r="U26" t="s">
        <v>7</v>
      </c>
      <c r="V26" t="s">
        <v>144</v>
      </c>
      <c r="W26" t="s">
        <v>145</v>
      </c>
      <c r="X26" t="s">
        <v>145</v>
      </c>
      <c r="Y26" t="s">
        <v>145</v>
      </c>
      <c r="Z26" t="s">
        <v>433</v>
      </c>
      <c r="AA26">
        <v>2025</v>
      </c>
      <c r="AB26" t="s">
        <v>434</v>
      </c>
      <c r="AC26">
        <v>19944</v>
      </c>
      <c r="AD26" t="s">
        <v>703</v>
      </c>
      <c r="AE26" t="s">
        <v>426</v>
      </c>
      <c r="AF26" t="s">
        <v>709</v>
      </c>
      <c r="AG26">
        <v>11287520</v>
      </c>
      <c r="AH26" t="s">
        <v>705</v>
      </c>
      <c r="AI26" t="s">
        <v>426</v>
      </c>
      <c r="AJ26">
        <v>0</v>
      </c>
      <c r="AK26" t="s">
        <v>437</v>
      </c>
      <c r="AL26" t="s">
        <v>705</v>
      </c>
      <c r="AM26" t="s">
        <v>499</v>
      </c>
      <c r="AN26" t="s">
        <v>439</v>
      </c>
      <c r="AO26" t="s">
        <v>426</v>
      </c>
      <c r="AP26">
        <v>8</v>
      </c>
      <c r="AQ26">
        <v>12640000</v>
      </c>
      <c r="AR26">
        <v>-2050000</v>
      </c>
      <c r="AS26">
        <v>-934538</v>
      </c>
      <c r="AT26">
        <v>9655462</v>
      </c>
      <c r="AU26">
        <v>11287520</v>
      </c>
      <c r="AV26">
        <v>-1632058</v>
      </c>
      <c r="AW26" t="s">
        <v>710</v>
      </c>
      <c r="AX26">
        <v>0</v>
      </c>
      <c r="AY26">
        <v>295713</v>
      </c>
      <c r="AZ26">
        <v>295713</v>
      </c>
      <c r="BA26">
        <v>0</v>
      </c>
      <c r="BB26" t="s">
        <v>441</v>
      </c>
      <c r="BC26">
        <v>0</v>
      </c>
      <c r="BD26">
        <v>0</v>
      </c>
      <c r="BE26">
        <v>0</v>
      </c>
      <c r="BF26">
        <v>0</v>
      </c>
      <c r="BG26" t="s">
        <v>441</v>
      </c>
      <c r="BH26">
        <v>0</v>
      </c>
      <c r="BI26">
        <v>0</v>
      </c>
      <c r="BJ26">
        <v>0</v>
      </c>
      <c r="BK26">
        <v>0</v>
      </c>
      <c r="BL26" t="s">
        <v>441</v>
      </c>
      <c r="BM26">
        <v>10590000</v>
      </c>
      <c r="BN26">
        <v>9951175</v>
      </c>
      <c r="BO26">
        <v>11583233</v>
      </c>
      <c r="BP26">
        <v>-1632058</v>
      </c>
      <c r="BQ26" t="s">
        <v>711</v>
      </c>
      <c r="BR26">
        <v>-1632058</v>
      </c>
      <c r="BS26" t="s">
        <v>711</v>
      </c>
      <c r="BT26">
        <v>0</v>
      </c>
      <c r="BU26">
        <v>0</v>
      </c>
      <c r="BV26">
        <v>11785713</v>
      </c>
      <c r="BW26">
        <v>0</v>
      </c>
      <c r="BX26">
        <v>295713</v>
      </c>
      <c r="BY26">
        <v>0</v>
      </c>
      <c r="BZ26">
        <v>11785713</v>
      </c>
      <c r="CA26">
        <v>9951175</v>
      </c>
      <c r="CB26" s="2">
        <v>-1632058</v>
      </c>
      <c r="CC26" t="s">
        <v>711</v>
      </c>
      <c r="CD26" t="s">
        <v>426</v>
      </c>
      <c r="CE26">
        <v>0</v>
      </c>
      <c r="CF26" t="s">
        <v>426</v>
      </c>
      <c r="CG26">
        <v>0</v>
      </c>
      <c r="CH26">
        <v>0</v>
      </c>
      <c r="CI26">
        <v>0</v>
      </c>
      <c r="CJ26" t="s">
        <v>426</v>
      </c>
    </row>
    <row r="27" spans="1:88">
      <c r="A27" t="s">
        <v>4</v>
      </c>
      <c r="B27" t="s">
        <v>5</v>
      </c>
      <c r="C27" t="s">
        <v>712</v>
      </c>
      <c r="D27">
        <v>5948</v>
      </c>
      <c r="E27" t="s">
        <v>70</v>
      </c>
      <c r="F27">
        <v>76431332</v>
      </c>
      <c r="G27" t="s">
        <v>503</v>
      </c>
      <c r="H27" t="s">
        <v>700</v>
      </c>
      <c r="I27" t="s">
        <v>701</v>
      </c>
      <c r="J27" t="s">
        <v>426</v>
      </c>
      <c r="K27" t="s">
        <v>426</v>
      </c>
      <c r="L27" t="s">
        <v>474</v>
      </c>
      <c r="M27" t="s">
        <v>426</v>
      </c>
      <c r="N27" t="s">
        <v>702</v>
      </c>
      <c r="O27" t="s">
        <v>426</v>
      </c>
      <c r="P27" t="s">
        <v>490</v>
      </c>
      <c r="Q27" t="s">
        <v>6</v>
      </c>
      <c r="R27" t="s">
        <v>491</v>
      </c>
      <c r="S27" t="s">
        <v>24</v>
      </c>
      <c r="T27" t="s">
        <v>492</v>
      </c>
      <c r="U27" t="s">
        <v>7</v>
      </c>
      <c r="V27" t="s">
        <v>146</v>
      </c>
      <c r="W27" t="s">
        <v>147</v>
      </c>
      <c r="X27" t="s">
        <v>147</v>
      </c>
      <c r="Y27" t="s">
        <v>147</v>
      </c>
      <c r="Z27" t="s">
        <v>433</v>
      </c>
      <c r="AA27">
        <v>2025</v>
      </c>
      <c r="AB27" t="s">
        <v>434</v>
      </c>
      <c r="AC27">
        <v>19945</v>
      </c>
      <c r="AD27" t="s">
        <v>703</v>
      </c>
      <c r="AE27" t="s">
        <v>426</v>
      </c>
      <c r="AF27" t="s">
        <v>713</v>
      </c>
      <c r="AG27">
        <v>11287520</v>
      </c>
      <c r="AH27" t="s">
        <v>705</v>
      </c>
      <c r="AI27" t="s">
        <v>426</v>
      </c>
      <c r="AJ27">
        <v>0</v>
      </c>
      <c r="AK27" t="s">
        <v>437</v>
      </c>
      <c r="AL27" t="s">
        <v>705</v>
      </c>
      <c r="AM27" t="s">
        <v>499</v>
      </c>
      <c r="AN27" t="s">
        <v>439</v>
      </c>
      <c r="AO27" t="s">
        <v>426</v>
      </c>
      <c r="AP27">
        <v>8</v>
      </c>
      <c r="AQ27">
        <v>13840000</v>
      </c>
      <c r="AR27">
        <v>-2050000</v>
      </c>
      <c r="AS27">
        <v>-934538</v>
      </c>
      <c r="AT27">
        <v>9655462</v>
      </c>
      <c r="AU27">
        <v>9937520</v>
      </c>
      <c r="AV27">
        <v>-282058</v>
      </c>
      <c r="AW27" t="s">
        <v>714</v>
      </c>
      <c r="AX27">
        <v>0</v>
      </c>
      <c r="AY27">
        <v>295713</v>
      </c>
      <c r="AZ27">
        <v>295713</v>
      </c>
      <c r="BA27">
        <v>0</v>
      </c>
      <c r="BB27" t="s">
        <v>441</v>
      </c>
      <c r="BC27">
        <v>0</v>
      </c>
      <c r="BD27">
        <v>0</v>
      </c>
      <c r="BE27">
        <v>0</v>
      </c>
      <c r="BF27">
        <v>0</v>
      </c>
      <c r="BG27" t="s">
        <v>441</v>
      </c>
      <c r="BH27">
        <v>0</v>
      </c>
      <c r="BI27">
        <v>0</v>
      </c>
      <c r="BJ27">
        <v>0</v>
      </c>
      <c r="BK27">
        <v>0</v>
      </c>
      <c r="BL27" t="s">
        <v>441</v>
      </c>
      <c r="BM27">
        <v>11790000</v>
      </c>
      <c r="BN27">
        <v>9951175</v>
      </c>
      <c r="BO27">
        <v>10233233</v>
      </c>
      <c r="BP27">
        <v>-282058</v>
      </c>
      <c r="BQ27" t="s">
        <v>715</v>
      </c>
      <c r="BR27">
        <v>-282058</v>
      </c>
      <c r="BS27" t="s">
        <v>715</v>
      </c>
      <c r="BT27">
        <v>0</v>
      </c>
      <c r="BU27">
        <v>0</v>
      </c>
      <c r="BV27">
        <v>11785713</v>
      </c>
      <c r="BW27">
        <v>0</v>
      </c>
      <c r="BX27">
        <v>295713</v>
      </c>
      <c r="BY27">
        <v>0</v>
      </c>
      <c r="BZ27">
        <v>11785713</v>
      </c>
      <c r="CA27">
        <v>9951175</v>
      </c>
      <c r="CB27" s="2">
        <v>-282058</v>
      </c>
      <c r="CC27" t="s">
        <v>715</v>
      </c>
      <c r="CD27" t="s">
        <v>426</v>
      </c>
      <c r="CE27">
        <v>0</v>
      </c>
      <c r="CF27" t="s">
        <v>426</v>
      </c>
      <c r="CG27">
        <v>0</v>
      </c>
      <c r="CH27">
        <v>1606500</v>
      </c>
      <c r="CI27">
        <v>0</v>
      </c>
      <c r="CJ27" t="s">
        <v>426</v>
      </c>
    </row>
    <row r="28" spans="1:88">
      <c r="A28" t="s">
        <v>4</v>
      </c>
      <c r="B28" t="s">
        <v>8</v>
      </c>
      <c r="C28" t="s">
        <v>716</v>
      </c>
      <c r="D28">
        <v>5949</v>
      </c>
      <c r="E28" t="s">
        <v>148</v>
      </c>
      <c r="F28">
        <v>10653803</v>
      </c>
      <c r="G28" t="s">
        <v>485</v>
      </c>
      <c r="H28" t="s">
        <v>717</v>
      </c>
      <c r="I28" t="s">
        <v>718</v>
      </c>
      <c r="J28" t="s">
        <v>426</v>
      </c>
      <c r="K28" t="s">
        <v>426</v>
      </c>
      <c r="L28" t="s">
        <v>719</v>
      </c>
      <c r="M28" t="s">
        <v>720</v>
      </c>
      <c r="N28" t="s">
        <v>721</v>
      </c>
      <c r="O28" t="s">
        <v>426</v>
      </c>
      <c r="P28" t="s">
        <v>430</v>
      </c>
      <c r="Q28" t="s">
        <v>6</v>
      </c>
      <c r="R28" t="s">
        <v>431</v>
      </c>
      <c r="S28" t="s">
        <v>25</v>
      </c>
      <c r="T28" t="s">
        <v>432</v>
      </c>
      <c r="U28" t="s">
        <v>26</v>
      </c>
      <c r="V28" t="s">
        <v>149</v>
      </c>
      <c r="W28" t="s">
        <v>150</v>
      </c>
      <c r="X28" t="s">
        <v>150</v>
      </c>
      <c r="Y28" t="s">
        <v>150</v>
      </c>
      <c r="Z28" t="s">
        <v>433</v>
      </c>
      <c r="AA28">
        <v>2025</v>
      </c>
      <c r="AB28" t="s">
        <v>434</v>
      </c>
      <c r="AC28">
        <v>19925</v>
      </c>
      <c r="AD28" t="s">
        <v>722</v>
      </c>
      <c r="AE28" t="s">
        <v>426</v>
      </c>
      <c r="AF28" t="s">
        <v>723</v>
      </c>
      <c r="AG28">
        <v>16848883</v>
      </c>
      <c r="AH28" t="s">
        <v>722</v>
      </c>
      <c r="AI28" t="s">
        <v>426</v>
      </c>
      <c r="AJ28">
        <v>0</v>
      </c>
      <c r="AK28" t="s">
        <v>437</v>
      </c>
      <c r="AL28" t="s">
        <v>722</v>
      </c>
      <c r="AM28" t="s">
        <v>481</v>
      </c>
      <c r="AN28" t="s">
        <v>439</v>
      </c>
      <c r="AO28" t="s">
        <v>426</v>
      </c>
      <c r="AP28">
        <v>32</v>
      </c>
      <c r="AQ28">
        <v>18058824</v>
      </c>
      <c r="AR28">
        <v>-1470588</v>
      </c>
      <c r="AS28">
        <v>-1083529</v>
      </c>
      <c r="AT28">
        <v>15504706</v>
      </c>
      <c r="AU28">
        <v>16848883</v>
      </c>
      <c r="AV28">
        <v>-1344177</v>
      </c>
      <c r="AW28" t="s">
        <v>724</v>
      </c>
      <c r="AX28">
        <v>0</v>
      </c>
      <c r="AY28">
        <v>889892</v>
      </c>
      <c r="AZ28">
        <v>889892</v>
      </c>
      <c r="BA28">
        <v>0</v>
      </c>
      <c r="BB28" t="s">
        <v>441</v>
      </c>
      <c r="BC28">
        <v>0</v>
      </c>
      <c r="BD28">
        <v>0</v>
      </c>
      <c r="BE28">
        <v>0</v>
      </c>
      <c r="BF28">
        <v>0</v>
      </c>
      <c r="BG28" t="s">
        <v>441</v>
      </c>
      <c r="BH28">
        <v>0</v>
      </c>
      <c r="BI28">
        <v>0</v>
      </c>
      <c r="BJ28">
        <v>0</v>
      </c>
      <c r="BK28">
        <v>0</v>
      </c>
      <c r="BL28" t="s">
        <v>441</v>
      </c>
      <c r="BM28">
        <v>16588236</v>
      </c>
      <c r="BN28">
        <v>16394598</v>
      </c>
      <c r="BO28">
        <v>17738775</v>
      </c>
      <c r="BP28">
        <v>-1344177</v>
      </c>
      <c r="BQ28" t="s">
        <v>725</v>
      </c>
      <c r="BR28">
        <v>-1344177</v>
      </c>
      <c r="BS28" t="s">
        <v>725</v>
      </c>
      <c r="BT28">
        <v>0</v>
      </c>
      <c r="BU28">
        <v>0</v>
      </c>
      <c r="BV28">
        <v>19340492</v>
      </c>
      <c r="BW28">
        <v>0</v>
      </c>
      <c r="BX28">
        <v>889892</v>
      </c>
      <c r="BY28">
        <v>0</v>
      </c>
      <c r="BZ28">
        <v>19340492</v>
      </c>
      <c r="CA28">
        <v>16394598</v>
      </c>
      <c r="CB28" s="2">
        <v>-1344177</v>
      </c>
      <c r="CC28" t="s">
        <v>725</v>
      </c>
      <c r="CD28" t="s">
        <v>426</v>
      </c>
      <c r="CE28">
        <v>0</v>
      </c>
      <c r="CF28" t="s">
        <v>426</v>
      </c>
      <c r="CG28">
        <v>0</v>
      </c>
      <c r="CH28">
        <v>0</v>
      </c>
      <c r="CI28">
        <v>0</v>
      </c>
      <c r="CJ28" t="s">
        <v>426</v>
      </c>
    </row>
    <row r="29" spans="1:88">
      <c r="A29" t="s">
        <v>4</v>
      </c>
      <c r="B29" t="s">
        <v>8</v>
      </c>
      <c r="C29" t="s">
        <v>726</v>
      </c>
      <c r="D29">
        <v>5950</v>
      </c>
      <c r="E29" t="s">
        <v>151</v>
      </c>
      <c r="F29">
        <v>17166024</v>
      </c>
      <c r="G29" t="s">
        <v>458</v>
      </c>
      <c r="H29" t="s">
        <v>727</v>
      </c>
      <c r="I29" t="s">
        <v>426</v>
      </c>
      <c r="J29" t="s">
        <v>728</v>
      </c>
      <c r="K29" t="s">
        <v>426</v>
      </c>
      <c r="L29" t="s">
        <v>528</v>
      </c>
      <c r="M29" t="s">
        <v>475</v>
      </c>
      <c r="N29" t="s">
        <v>729</v>
      </c>
      <c r="O29" t="s">
        <v>426</v>
      </c>
      <c r="P29" t="s">
        <v>463</v>
      </c>
      <c r="Q29" t="s">
        <v>6</v>
      </c>
      <c r="R29" t="s">
        <v>730</v>
      </c>
      <c r="S29" t="s">
        <v>152</v>
      </c>
      <c r="T29" t="s">
        <v>731</v>
      </c>
      <c r="U29" t="s">
        <v>11</v>
      </c>
      <c r="V29" t="s">
        <v>153</v>
      </c>
      <c r="W29" t="s">
        <v>154</v>
      </c>
      <c r="X29" t="s">
        <v>154</v>
      </c>
      <c r="Y29" t="s">
        <v>426</v>
      </c>
      <c r="Z29" t="s">
        <v>433</v>
      </c>
      <c r="AA29">
        <v>2025</v>
      </c>
      <c r="AB29" t="s">
        <v>434</v>
      </c>
      <c r="AC29">
        <v>19921</v>
      </c>
      <c r="AD29" t="s">
        <v>722</v>
      </c>
      <c r="AE29" t="s">
        <v>426</v>
      </c>
      <c r="AF29" t="s">
        <v>732</v>
      </c>
      <c r="AG29">
        <v>14888798</v>
      </c>
      <c r="AH29" t="s">
        <v>722</v>
      </c>
      <c r="AI29" t="s">
        <v>426</v>
      </c>
      <c r="AJ29">
        <v>0</v>
      </c>
      <c r="AK29" t="s">
        <v>565</v>
      </c>
      <c r="AL29" t="s">
        <v>722</v>
      </c>
      <c r="AM29" t="s">
        <v>481</v>
      </c>
      <c r="AN29" t="s">
        <v>439</v>
      </c>
      <c r="AO29" t="s">
        <v>426</v>
      </c>
      <c r="AP29">
        <v>0</v>
      </c>
      <c r="AQ29">
        <v>15537815</v>
      </c>
      <c r="AR29">
        <v>-1554622</v>
      </c>
      <c r="AS29">
        <v>-718109</v>
      </c>
      <c r="AT29">
        <v>13685252</v>
      </c>
      <c r="AU29">
        <v>14888798</v>
      </c>
      <c r="AV29">
        <v>-1203546</v>
      </c>
      <c r="AW29" t="s">
        <v>733</v>
      </c>
      <c r="AX29">
        <v>0</v>
      </c>
      <c r="AY29">
        <v>784550</v>
      </c>
      <c r="AZ29">
        <v>784550</v>
      </c>
      <c r="BA29">
        <v>0</v>
      </c>
      <c r="BB29" t="s">
        <v>441</v>
      </c>
      <c r="BC29">
        <v>0</v>
      </c>
      <c r="BD29">
        <v>0</v>
      </c>
      <c r="BE29">
        <v>0</v>
      </c>
      <c r="BF29">
        <v>0</v>
      </c>
      <c r="BG29" t="s">
        <v>441</v>
      </c>
      <c r="BH29">
        <v>0</v>
      </c>
      <c r="BI29">
        <v>0</v>
      </c>
      <c r="BJ29">
        <v>0</v>
      </c>
      <c r="BK29">
        <v>0</v>
      </c>
      <c r="BL29" t="s">
        <v>441</v>
      </c>
      <c r="BM29">
        <v>13983193</v>
      </c>
      <c r="BN29">
        <v>14469802</v>
      </c>
      <c r="BO29">
        <v>15673348</v>
      </c>
      <c r="BP29">
        <v>-1203546</v>
      </c>
      <c r="BQ29" t="s">
        <v>734</v>
      </c>
      <c r="BR29">
        <v>-1203546</v>
      </c>
      <c r="BS29" t="s">
        <v>734</v>
      </c>
      <c r="BT29">
        <v>0</v>
      </c>
      <c r="BU29">
        <v>0</v>
      </c>
      <c r="BV29">
        <v>17070000</v>
      </c>
      <c r="BW29">
        <v>0</v>
      </c>
      <c r="BX29">
        <v>784550</v>
      </c>
      <c r="BY29">
        <v>0</v>
      </c>
      <c r="BZ29">
        <v>17070000</v>
      </c>
      <c r="CA29">
        <v>14469802</v>
      </c>
      <c r="CB29" s="2">
        <v>-1203546</v>
      </c>
      <c r="CC29" t="s">
        <v>734</v>
      </c>
      <c r="CD29" t="s">
        <v>426</v>
      </c>
      <c r="CE29">
        <v>0</v>
      </c>
      <c r="CF29" t="s">
        <v>426</v>
      </c>
      <c r="CG29">
        <v>0</v>
      </c>
      <c r="CH29">
        <v>0</v>
      </c>
      <c r="CI29">
        <v>0</v>
      </c>
      <c r="CJ29" t="s">
        <v>426</v>
      </c>
    </row>
    <row r="30" spans="1:88">
      <c r="A30" t="s">
        <v>4</v>
      </c>
      <c r="B30" t="s">
        <v>8</v>
      </c>
      <c r="C30" t="s">
        <v>735</v>
      </c>
      <c r="D30">
        <v>5951</v>
      </c>
      <c r="E30" t="s">
        <v>155</v>
      </c>
      <c r="F30">
        <v>4863497</v>
      </c>
      <c r="G30" t="s">
        <v>485</v>
      </c>
      <c r="H30" t="s">
        <v>736</v>
      </c>
      <c r="I30" t="s">
        <v>737</v>
      </c>
      <c r="J30" t="s">
        <v>426</v>
      </c>
      <c r="K30" t="s">
        <v>426</v>
      </c>
      <c r="L30" t="s">
        <v>488</v>
      </c>
      <c r="M30" t="s">
        <v>738</v>
      </c>
      <c r="N30" t="s">
        <v>739</v>
      </c>
      <c r="O30" t="s">
        <v>426</v>
      </c>
      <c r="P30" t="s">
        <v>430</v>
      </c>
      <c r="Q30" t="s">
        <v>6</v>
      </c>
      <c r="R30" t="s">
        <v>464</v>
      </c>
      <c r="S30" t="s">
        <v>29</v>
      </c>
      <c r="T30" t="s">
        <v>596</v>
      </c>
      <c r="U30" t="s">
        <v>7</v>
      </c>
      <c r="V30" t="s">
        <v>156</v>
      </c>
      <c r="W30" t="s">
        <v>157</v>
      </c>
      <c r="X30" t="s">
        <v>157</v>
      </c>
      <c r="Y30" t="s">
        <v>157</v>
      </c>
      <c r="Z30" t="s">
        <v>433</v>
      </c>
      <c r="AA30">
        <v>2025</v>
      </c>
      <c r="AB30" t="s">
        <v>434</v>
      </c>
      <c r="AC30">
        <v>19924</v>
      </c>
      <c r="AD30" t="s">
        <v>722</v>
      </c>
      <c r="AE30" t="s">
        <v>426</v>
      </c>
      <c r="AF30" t="s">
        <v>740</v>
      </c>
      <c r="AG30">
        <v>16396017</v>
      </c>
      <c r="AH30" t="s">
        <v>722</v>
      </c>
      <c r="AI30" t="s">
        <v>426</v>
      </c>
      <c r="AJ30">
        <v>0</v>
      </c>
      <c r="AK30" t="s">
        <v>565</v>
      </c>
      <c r="AL30" t="s">
        <v>722</v>
      </c>
      <c r="AM30" t="s">
        <v>481</v>
      </c>
      <c r="AN30" t="s">
        <v>439</v>
      </c>
      <c r="AO30" t="s">
        <v>426</v>
      </c>
      <c r="AP30">
        <v>0</v>
      </c>
      <c r="AQ30">
        <v>17134454</v>
      </c>
      <c r="AR30">
        <v>-1848739</v>
      </c>
      <c r="AS30">
        <v>-457563</v>
      </c>
      <c r="AT30">
        <v>14828151</v>
      </c>
      <c r="AU30">
        <v>16396017</v>
      </c>
      <c r="AV30">
        <v>-1567866</v>
      </c>
      <c r="AW30" t="s">
        <v>741</v>
      </c>
      <c r="AX30">
        <v>0</v>
      </c>
      <c r="AY30">
        <v>844500</v>
      </c>
      <c r="AZ30">
        <v>844500</v>
      </c>
      <c r="BA30">
        <v>0</v>
      </c>
      <c r="BB30" t="s">
        <v>441</v>
      </c>
      <c r="BC30">
        <v>0</v>
      </c>
      <c r="BD30">
        <v>0</v>
      </c>
      <c r="BE30">
        <v>0</v>
      </c>
      <c r="BF30">
        <v>0</v>
      </c>
      <c r="BG30" t="s">
        <v>441</v>
      </c>
      <c r="BH30">
        <v>0</v>
      </c>
      <c r="BI30">
        <v>0</v>
      </c>
      <c r="BJ30">
        <v>0</v>
      </c>
      <c r="BK30">
        <v>0</v>
      </c>
      <c r="BL30" t="s">
        <v>441</v>
      </c>
      <c r="BM30">
        <v>15285715</v>
      </c>
      <c r="BN30">
        <v>15672651</v>
      </c>
      <c r="BO30">
        <v>17240517</v>
      </c>
      <c r="BP30">
        <v>-1567866</v>
      </c>
      <c r="BQ30" t="s">
        <v>742</v>
      </c>
      <c r="BR30">
        <v>-1567866</v>
      </c>
      <c r="BS30" t="s">
        <v>742</v>
      </c>
      <c r="BT30">
        <v>0</v>
      </c>
      <c r="BU30">
        <v>0</v>
      </c>
      <c r="BV30">
        <v>18490000</v>
      </c>
      <c r="BW30">
        <v>0</v>
      </c>
      <c r="BX30">
        <v>844500</v>
      </c>
      <c r="BY30">
        <v>0</v>
      </c>
      <c r="BZ30">
        <v>18490000</v>
      </c>
      <c r="CA30">
        <v>15672651</v>
      </c>
      <c r="CB30" s="2">
        <v>-1567866</v>
      </c>
      <c r="CC30" t="s">
        <v>742</v>
      </c>
      <c r="CD30" t="s">
        <v>426</v>
      </c>
      <c r="CE30">
        <v>0</v>
      </c>
      <c r="CF30" t="s">
        <v>426</v>
      </c>
      <c r="CG30">
        <v>0</v>
      </c>
      <c r="CH30">
        <v>0</v>
      </c>
      <c r="CI30">
        <v>0</v>
      </c>
      <c r="CJ30" t="s">
        <v>426</v>
      </c>
    </row>
    <row r="31" spans="1:88">
      <c r="A31" t="s">
        <v>4</v>
      </c>
      <c r="B31" t="s">
        <v>8</v>
      </c>
      <c r="C31" t="s">
        <v>743</v>
      </c>
      <c r="D31">
        <v>5954</v>
      </c>
      <c r="E31" t="s">
        <v>158</v>
      </c>
      <c r="F31">
        <v>19894192</v>
      </c>
      <c r="G31" t="s">
        <v>503</v>
      </c>
      <c r="H31" t="s">
        <v>744</v>
      </c>
      <c r="I31" t="s">
        <v>426</v>
      </c>
      <c r="J31" t="s">
        <v>745</v>
      </c>
      <c r="K31" t="s">
        <v>426</v>
      </c>
      <c r="L31" t="s">
        <v>488</v>
      </c>
      <c r="M31" t="s">
        <v>475</v>
      </c>
      <c r="N31" t="s">
        <v>746</v>
      </c>
      <c r="O31" t="s">
        <v>426</v>
      </c>
      <c r="P31" t="s">
        <v>430</v>
      </c>
      <c r="Q31" t="s">
        <v>6</v>
      </c>
      <c r="R31" t="s">
        <v>464</v>
      </c>
      <c r="S31" t="s">
        <v>20</v>
      </c>
      <c r="T31" t="s">
        <v>747</v>
      </c>
      <c r="U31" t="s">
        <v>21</v>
      </c>
      <c r="V31" t="s">
        <v>159</v>
      </c>
      <c r="W31" t="s">
        <v>160</v>
      </c>
      <c r="X31" t="s">
        <v>160</v>
      </c>
      <c r="Y31" t="s">
        <v>160</v>
      </c>
      <c r="Z31" t="s">
        <v>433</v>
      </c>
      <c r="AA31">
        <v>2025</v>
      </c>
      <c r="AB31" t="s">
        <v>434</v>
      </c>
      <c r="AC31">
        <v>19920</v>
      </c>
      <c r="AD31" t="s">
        <v>722</v>
      </c>
      <c r="AE31" t="s">
        <v>426</v>
      </c>
      <c r="AF31" t="s">
        <v>748</v>
      </c>
      <c r="AG31">
        <v>18103335</v>
      </c>
      <c r="AH31" t="s">
        <v>749</v>
      </c>
      <c r="AI31" t="s">
        <v>426</v>
      </c>
      <c r="AJ31">
        <v>0</v>
      </c>
      <c r="AK31" t="s">
        <v>565</v>
      </c>
      <c r="AL31" t="s">
        <v>749</v>
      </c>
      <c r="AM31" t="s">
        <v>566</v>
      </c>
      <c r="AN31" t="s">
        <v>439</v>
      </c>
      <c r="AO31" t="s">
        <v>426</v>
      </c>
      <c r="AP31">
        <v>0</v>
      </c>
      <c r="AQ31">
        <v>19403361</v>
      </c>
      <c r="AR31">
        <v>-3739496</v>
      </c>
      <c r="AS31">
        <v>-537815</v>
      </c>
      <c r="AT31">
        <v>15126050</v>
      </c>
      <c r="AU31">
        <v>18103335</v>
      </c>
      <c r="AV31">
        <v>-2977285</v>
      </c>
      <c r="AW31" t="s">
        <v>750</v>
      </c>
      <c r="AX31">
        <v>0</v>
      </c>
      <c r="AY31">
        <v>784164</v>
      </c>
      <c r="AZ31">
        <v>784164</v>
      </c>
      <c r="BA31">
        <v>0</v>
      </c>
      <c r="BB31" t="s">
        <v>441</v>
      </c>
      <c r="BC31">
        <v>0</v>
      </c>
      <c r="BD31">
        <v>0</v>
      </c>
      <c r="BE31">
        <v>0</v>
      </c>
      <c r="BF31">
        <v>0</v>
      </c>
      <c r="BG31" t="s">
        <v>441</v>
      </c>
      <c r="BH31">
        <v>0</v>
      </c>
      <c r="BI31">
        <v>0</v>
      </c>
      <c r="BJ31">
        <v>0</v>
      </c>
      <c r="BK31">
        <v>0</v>
      </c>
      <c r="BL31" t="s">
        <v>441</v>
      </c>
      <c r="BM31">
        <v>15663865</v>
      </c>
      <c r="BN31">
        <v>15910214</v>
      </c>
      <c r="BO31">
        <v>18887499</v>
      </c>
      <c r="BP31">
        <v>-2977285</v>
      </c>
      <c r="BQ31" t="s">
        <v>751</v>
      </c>
      <c r="BR31">
        <v>-2977285</v>
      </c>
      <c r="BS31" t="s">
        <v>751</v>
      </c>
      <c r="BT31">
        <v>0</v>
      </c>
      <c r="BU31">
        <v>0</v>
      </c>
      <c r="BV31">
        <v>18784164</v>
      </c>
      <c r="BW31">
        <v>0</v>
      </c>
      <c r="BX31">
        <v>784164</v>
      </c>
      <c r="BY31">
        <v>0</v>
      </c>
      <c r="BZ31">
        <v>18784164</v>
      </c>
      <c r="CA31">
        <v>15910214</v>
      </c>
      <c r="CB31" s="2">
        <v>-2977285</v>
      </c>
      <c r="CC31" t="s">
        <v>751</v>
      </c>
      <c r="CD31" t="s">
        <v>426</v>
      </c>
      <c r="CE31">
        <v>0</v>
      </c>
      <c r="CF31" t="s">
        <v>426</v>
      </c>
      <c r="CG31">
        <v>0</v>
      </c>
      <c r="CH31">
        <v>0</v>
      </c>
      <c r="CI31">
        <v>0</v>
      </c>
      <c r="CJ31" t="s">
        <v>426</v>
      </c>
    </row>
    <row r="32" spans="1:88">
      <c r="A32" t="s">
        <v>4</v>
      </c>
      <c r="B32" t="s">
        <v>8</v>
      </c>
      <c r="C32" t="s">
        <v>752</v>
      </c>
      <c r="D32">
        <v>5958</v>
      </c>
      <c r="E32" t="s">
        <v>161</v>
      </c>
      <c r="F32">
        <v>15313830</v>
      </c>
      <c r="G32" t="s">
        <v>423</v>
      </c>
      <c r="H32" t="s">
        <v>753</v>
      </c>
      <c r="I32" t="s">
        <v>426</v>
      </c>
      <c r="J32" t="s">
        <v>754</v>
      </c>
      <c r="K32" t="s">
        <v>426</v>
      </c>
      <c r="L32" t="s">
        <v>488</v>
      </c>
      <c r="M32" t="s">
        <v>475</v>
      </c>
      <c r="N32" t="s">
        <v>755</v>
      </c>
      <c r="O32" t="s">
        <v>426</v>
      </c>
      <c r="P32" t="s">
        <v>430</v>
      </c>
      <c r="Q32" t="s">
        <v>6</v>
      </c>
      <c r="R32" t="s">
        <v>431</v>
      </c>
      <c r="S32" t="s">
        <v>17</v>
      </c>
      <c r="T32" t="s">
        <v>552</v>
      </c>
      <c r="U32" t="s">
        <v>26</v>
      </c>
      <c r="V32" t="s">
        <v>162</v>
      </c>
      <c r="W32" t="s">
        <v>163</v>
      </c>
      <c r="X32" t="s">
        <v>163</v>
      </c>
      <c r="Y32" t="s">
        <v>163</v>
      </c>
      <c r="Z32" t="s">
        <v>433</v>
      </c>
      <c r="AA32">
        <v>2025</v>
      </c>
      <c r="AB32" t="s">
        <v>584</v>
      </c>
      <c r="AC32">
        <v>19918</v>
      </c>
      <c r="AD32" t="s">
        <v>722</v>
      </c>
      <c r="AE32" t="s">
        <v>426</v>
      </c>
      <c r="AF32" t="s">
        <v>756</v>
      </c>
      <c r="AG32">
        <v>17651815</v>
      </c>
      <c r="AH32" t="s">
        <v>722</v>
      </c>
      <c r="AI32" t="s">
        <v>426</v>
      </c>
      <c r="AJ32">
        <v>0</v>
      </c>
      <c r="AK32" t="s">
        <v>565</v>
      </c>
      <c r="AL32" t="s">
        <v>722</v>
      </c>
      <c r="AM32" t="s">
        <v>481</v>
      </c>
      <c r="AN32" t="s">
        <v>439</v>
      </c>
      <c r="AO32" t="s">
        <v>426</v>
      </c>
      <c r="AP32">
        <v>39</v>
      </c>
      <c r="AQ32">
        <v>18899160</v>
      </c>
      <c r="AR32">
        <v>-1218487</v>
      </c>
      <c r="AS32">
        <v>-571429</v>
      </c>
      <c r="AT32">
        <v>17109244</v>
      </c>
      <c r="AU32">
        <v>17651815</v>
      </c>
      <c r="AV32">
        <v>-542571</v>
      </c>
      <c r="AW32" t="s">
        <v>757</v>
      </c>
      <c r="AX32">
        <v>0</v>
      </c>
      <c r="AY32">
        <v>977613</v>
      </c>
      <c r="AZ32">
        <v>977613</v>
      </c>
      <c r="BA32">
        <v>0</v>
      </c>
      <c r="BB32" t="s">
        <v>441</v>
      </c>
      <c r="BC32">
        <v>55336</v>
      </c>
      <c r="BD32">
        <v>252101</v>
      </c>
      <c r="BE32">
        <v>0</v>
      </c>
      <c r="BF32">
        <v>0</v>
      </c>
      <c r="BG32" t="s">
        <v>441</v>
      </c>
      <c r="BH32">
        <v>0</v>
      </c>
      <c r="BI32">
        <v>0</v>
      </c>
      <c r="BJ32">
        <v>0</v>
      </c>
      <c r="BK32">
        <v>0</v>
      </c>
      <c r="BL32" t="s">
        <v>441</v>
      </c>
      <c r="BM32">
        <v>17680673</v>
      </c>
      <c r="BN32">
        <v>18338958</v>
      </c>
      <c r="BO32">
        <v>18629428</v>
      </c>
      <c r="BP32">
        <v>-290470</v>
      </c>
      <c r="BQ32" t="s">
        <v>758</v>
      </c>
      <c r="BR32">
        <v>-290470</v>
      </c>
      <c r="BS32" t="s">
        <v>758</v>
      </c>
      <c r="BT32">
        <v>0</v>
      </c>
      <c r="BU32">
        <v>0</v>
      </c>
      <c r="BV32">
        <v>21637613</v>
      </c>
      <c r="BW32">
        <v>0</v>
      </c>
      <c r="BX32">
        <v>977613</v>
      </c>
      <c r="BY32">
        <v>252101</v>
      </c>
      <c r="BZ32">
        <v>21637614</v>
      </c>
      <c r="CA32">
        <v>18338958</v>
      </c>
      <c r="CB32" s="2">
        <v>-290470</v>
      </c>
      <c r="CC32" t="s">
        <v>758</v>
      </c>
      <c r="CD32" t="s">
        <v>426</v>
      </c>
      <c r="CE32">
        <v>0</v>
      </c>
      <c r="CF32" t="s">
        <v>426</v>
      </c>
      <c r="CG32">
        <v>0</v>
      </c>
      <c r="CH32">
        <v>0</v>
      </c>
      <c r="CI32">
        <v>0</v>
      </c>
      <c r="CJ32" t="s">
        <v>426</v>
      </c>
    </row>
    <row r="33" spans="1:88">
      <c r="A33" t="s">
        <v>4</v>
      </c>
      <c r="B33" t="s">
        <v>5</v>
      </c>
      <c r="C33" t="s">
        <v>759</v>
      </c>
      <c r="D33">
        <v>5960</v>
      </c>
      <c r="E33" t="s">
        <v>164</v>
      </c>
      <c r="F33">
        <v>8545815</v>
      </c>
      <c r="G33" t="s">
        <v>760</v>
      </c>
      <c r="H33" t="s">
        <v>761</v>
      </c>
      <c r="I33" t="s">
        <v>762</v>
      </c>
      <c r="J33" t="s">
        <v>426</v>
      </c>
      <c r="K33" t="s">
        <v>426</v>
      </c>
      <c r="L33" t="s">
        <v>488</v>
      </c>
      <c r="M33" t="s">
        <v>763</v>
      </c>
      <c r="N33" t="s">
        <v>764</v>
      </c>
      <c r="O33" t="s">
        <v>426</v>
      </c>
      <c r="P33" t="s">
        <v>430</v>
      </c>
      <c r="Q33" t="s">
        <v>6</v>
      </c>
      <c r="R33" t="s">
        <v>431</v>
      </c>
      <c r="S33" t="s">
        <v>165</v>
      </c>
      <c r="T33" t="s">
        <v>765</v>
      </c>
      <c r="U33" t="s">
        <v>85</v>
      </c>
      <c r="V33" t="s">
        <v>166</v>
      </c>
      <c r="W33" t="s">
        <v>167</v>
      </c>
      <c r="X33" t="s">
        <v>167</v>
      </c>
      <c r="Y33" t="s">
        <v>167</v>
      </c>
      <c r="Z33" t="s">
        <v>433</v>
      </c>
      <c r="AA33">
        <v>2025</v>
      </c>
      <c r="AB33" t="s">
        <v>434</v>
      </c>
      <c r="AC33">
        <v>19926</v>
      </c>
      <c r="AD33" t="s">
        <v>766</v>
      </c>
      <c r="AE33" t="s">
        <v>426</v>
      </c>
      <c r="AF33" t="s">
        <v>767</v>
      </c>
      <c r="AG33">
        <v>15795707</v>
      </c>
      <c r="AH33" t="s">
        <v>766</v>
      </c>
      <c r="AI33" t="s">
        <v>426</v>
      </c>
      <c r="AJ33">
        <v>0</v>
      </c>
      <c r="AK33" t="s">
        <v>437</v>
      </c>
      <c r="AL33" t="s">
        <v>766</v>
      </c>
      <c r="AM33" t="s">
        <v>438</v>
      </c>
      <c r="AN33" t="s">
        <v>439</v>
      </c>
      <c r="AO33" t="s">
        <v>426</v>
      </c>
      <c r="AP33">
        <v>123</v>
      </c>
      <c r="AQ33">
        <v>16966386</v>
      </c>
      <c r="AR33">
        <v>-1554622</v>
      </c>
      <c r="AS33">
        <v>-508992</v>
      </c>
      <c r="AT33">
        <v>14902773</v>
      </c>
      <c r="AU33">
        <v>15795707</v>
      </c>
      <c r="AV33">
        <v>-892934</v>
      </c>
      <c r="AW33" t="s">
        <v>768</v>
      </c>
      <c r="AX33">
        <v>0</v>
      </c>
      <c r="AY33">
        <v>860724</v>
      </c>
      <c r="AZ33">
        <v>860724</v>
      </c>
      <c r="BA33">
        <v>0</v>
      </c>
      <c r="BB33" t="s">
        <v>441</v>
      </c>
      <c r="BC33">
        <v>0</v>
      </c>
      <c r="BD33">
        <v>0</v>
      </c>
      <c r="BE33">
        <v>0</v>
      </c>
      <c r="BF33">
        <v>0</v>
      </c>
      <c r="BG33" t="s">
        <v>441</v>
      </c>
      <c r="BH33">
        <v>0</v>
      </c>
      <c r="BI33">
        <v>0</v>
      </c>
      <c r="BJ33">
        <v>0</v>
      </c>
      <c r="BK33">
        <v>0</v>
      </c>
      <c r="BL33" t="s">
        <v>441</v>
      </c>
      <c r="BM33">
        <v>15411764</v>
      </c>
      <c r="BN33">
        <v>15763497</v>
      </c>
      <c r="BO33">
        <v>16656431</v>
      </c>
      <c r="BP33">
        <v>-892934</v>
      </c>
      <c r="BQ33" t="s">
        <v>769</v>
      </c>
      <c r="BR33">
        <v>-892934</v>
      </c>
      <c r="BS33" t="s">
        <v>769</v>
      </c>
      <c r="BT33">
        <v>0</v>
      </c>
      <c r="BU33">
        <v>0</v>
      </c>
      <c r="BV33">
        <v>18595024</v>
      </c>
      <c r="BW33">
        <v>0</v>
      </c>
      <c r="BX33">
        <v>860724</v>
      </c>
      <c r="BY33">
        <v>0</v>
      </c>
      <c r="BZ33">
        <v>18595024</v>
      </c>
      <c r="CA33">
        <v>15763497</v>
      </c>
      <c r="CB33" s="2">
        <v>-892934</v>
      </c>
      <c r="CC33" t="s">
        <v>769</v>
      </c>
      <c r="CD33" t="s">
        <v>426</v>
      </c>
      <c r="CE33">
        <v>0</v>
      </c>
      <c r="CF33" t="s">
        <v>426</v>
      </c>
      <c r="CG33">
        <v>0</v>
      </c>
      <c r="CH33">
        <v>0</v>
      </c>
      <c r="CI33">
        <v>0</v>
      </c>
      <c r="CJ33" t="s">
        <v>426</v>
      </c>
    </row>
    <row r="34" spans="1:88">
      <c r="A34" t="s">
        <v>4</v>
      </c>
      <c r="B34" t="s">
        <v>5</v>
      </c>
      <c r="C34" t="s">
        <v>770</v>
      </c>
      <c r="D34">
        <v>5963</v>
      </c>
      <c r="E34" t="s">
        <v>168</v>
      </c>
      <c r="F34">
        <v>15934220</v>
      </c>
      <c r="G34" t="s">
        <v>485</v>
      </c>
      <c r="H34" t="s">
        <v>771</v>
      </c>
      <c r="I34" t="s">
        <v>772</v>
      </c>
      <c r="J34" t="s">
        <v>426</v>
      </c>
      <c r="K34" t="s">
        <v>426</v>
      </c>
      <c r="L34" t="s">
        <v>603</v>
      </c>
      <c r="M34" t="s">
        <v>773</v>
      </c>
      <c r="N34" t="s">
        <v>774</v>
      </c>
      <c r="O34" t="s">
        <v>426</v>
      </c>
      <c r="P34" t="s">
        <v>463</v>
      </c>
      <c r="Q34" t="s">
        <v>6</v>
      </c>
      <c r="R34" t="s">
        <v>464</v>
      </c>
      <c r="S34" t="s">
        <v>28</v>
      </c>
      <c r="T34" t="s">
        <v>775</v>
      </c>
      <c r="U34" t="s">
        <v>13</v>
      </c>
      <c r="V34" t="s">
        <v>169</v>
      </c>
      <c r="W34" t="s">
        <v>170</v>
      </c>
      <c r="X34" t="s">
        <v>170</v>
      </c>
      <c r="Y34" t="s">
        <v>170</v>
      </c>
      <c r="Z34" t="s">
        <v>433</v>
      </c>
      <c r="AA34">
        <v>2025</v>
      </c>
      <c r="AB34" t="s">
        <v>434</v>
      </c>
      <c r="AC34">
        <v>19942</v>
      </c>
      <c r="AD34" t="s">
        <v>652</v>
      </c>
      <c r="AE34" t="s">
        <v>426</v>
      </c>
      <c r="AF34" t="s">
        <v>776</v>
      </c>
      <c r="AG34">
        <v>20025176</v>
      </c>
      <c r="AH34" t="s">
        <v>654</v>
      </c>
      <c r="AI34" t="s">
        <v>426</v>
      </c>
      <c r="AJ34">
        <v>0</v>
      </c>
      <c r="AK34" t="s">
        <v>437</v>
      </c>
      <c r="AL34" t="s">
        <v>654</v>
      </c>
      <c r="AM34" t="s">
        <v>438</v>
      </c>
      <c r="AN34" t="s">
        <v>439</v>
      </c>
      <c r="AO34" t="s">
        <v>426</v>
      </c>
      <c r="AP34">
        <v>97</v>
      </c>
      <c r="AQ34">
        <v>21672269</v>
      </c>
      <c r="AR34">
        <v>-3235294</v>
      </c>
      <c r="AS34">
        <v>-866891</v>
      </c>
      <c r="AT34">
        <v>17570084</v>
      </c>
      <c r="AU34">
        <v>20025176</v>
      </c>
      <c r="AV34">
        <v>-2455092</v>
      </c>
      <c r="AW34" t="s">
        <v>777</v>
      </c>
      <c r="AX34">
        <v>0</v>
      </c>
      <c r="AY34">
        <v>1024400</v>
      </c>
      <c r="AZ34">
        <v>1024400</v>
      </c>
      <c r="BA34">
        <v>0</v>
      </c>
      <c r="BB34" t="s">
        <v>441</v>
      </c>
      <c r="BC34">
        <v>0</v>
      </c>
      <c r="BD34">
        <v>0</v>
      </c>
      <c r="BE34">
        <v>0</v>
      </c>
      <c r="BF34">
        <v>0</v>
      </c>
      <c r="BG34" t="s">
        <v>441</v>
      </c>
      <c r="BH34">
        <v>0</v>
      </c>
      <c r="BI34">
        <v>0</v>
      </c>
      <c r="BJ34">
        <v>0</v>
      </c>
      <c r="BK34">
        <v>0</v>
      </c>
      <c r="BL34" t="s">
        <v>441</v>
      </c>
      <c r="BM34">
        <v>18436975</v>
      </c>
      <c r="BN34">
        <v>18594484</v>
      </c>
      <c r="BO34">
        <v>21049576</v>
      </c>
      <c r="BP34">
        <v>-2455092</v>
      </c>
      <c r="BQ34" t="s">
        <v>778</v>
      </c>
      <c r="BR34">
        <v>-2455092</v>
      </c>
      <c r="BS34" t="s">
        <v>778</v>
      </c>
      <c r="BT34">
        <v>0</v>
      </c>
      <c r="BU34">
        <v>0</v>
      </c>
      <c r="BV34">
        <v>21932800</v>
      </c>
      <c r="BW34">
        <v>0</v>
      </c>
      <c r="BX34">
        <v>1024400</v>
      </c>
      <c r="BY34">
        <v>0</v>
      </c>
      <c r="BZ34">
        <v>21932800</v>
      </c>
      <c r="CA34">
        <v>18594484</v>
      </c>
      <c r="CB34" s="2">
        <v>-2455092</v>
      </c>
      <c r="CC34" t="s">
        <v>778</v>
      </c>
      <c r="CD34" t="s">
        <v>426</v>
      </c>
      <c r="CE34">
        <v>0</v>
      </c>
      <c r="CF34" t="s">
        <v>426</v>
      </c>
      <c r="CG34">
        <v>0</v>
      </c>
      <c r="CH34">
        <v>0</v>
      </c>
      <c r="CI34">
        <v>0</v>
      </c>
      <c r="CJ34" t="s">
        <v>426</v>
      </c>
    </row>
    <row r="35" spans="1:88">
      <c r="A35" t="s">
        <v>4</v>
      </c>
      <c r="B35" t="s">
        <v>8</v>
      </c>
      <c r="C35" t="s">
        <v>779</v>
      </c>
      <c r="D35">
        <v>5969</v>
      </c>
      <c r="E35" t="s">
        <v>171</v>
      </c>
      <c r="F35">
        <v>18142681</v>
      </c>
      <c r="G35" t="s">
        <v>611</v>
      </c>
      <c r="H35" t="s">
        <v>780</v>
      </c>
      <c r="I35" t="s">
        <v>426</v>
      </c>
      <c r="J35" t="s">
        <v>781</v>
      </c>
      <c r="K35" t="s">
        <v>426</v>
      </c>
      <c r="L35" t="s">
        <v>488</v>
      </c>
      <c r="M35" t="s">
        <v>475</v>
      </c>
      <c r="N35" t="s">
        <v>782</v>
      </c>
      <c r="O35" t="s">
        <v>426</v>
      </c>
      <c r="P35" t="s">
        <v>430</v>
      </c>
      <c r="Q35" t="s">
        <v>6</v>
      </c>
      <c r="R35" t="s">
        <v>426</v>
      </c>
      <c r="S35" t="s">
        <v>18</v>
      </c>
      <c r="T35" t="s">
        <v>783</v>
      </c>
      <c r="U35" t="s">
        <v>11</v>
      </c>
      <c r="V35" t="s">
        <v>172</v>
      </c>
      <c r="W35" t="s">
        <v>173</v>
      </c>
      <c r="X35" t="s">
        <v>173</v>
      </c>
      <c r="Y35" t="s">
        <v>173</v>
      </c>
      <c r="Z35" t="s">
        <v>433</v>
      </c>
      <c r="AA35">
        <v>2025</v>
      </c>
      <c r="AB35" t="s">
        <v>584</v>
      </c>
      <c r="AC35">
        <v>19949</v>
      </c>
      <c r="AD35" t="s">
        <v>633</v>
      </c>
      <c r="AE35" t="s">
        <v>426</v>
      </c>
      <c r="AF35" t="s">
        <v>784</v>
      </c>
      <c r="AG35">
        <v>43474588</v>
      </c>
      <c r="AH35" t="s">
        <v>633</v>
      </c>
      <c r="AI35" t="s">
        <v>426</v>
      </c>
      <c r="AJ35">
        <v>0</v>
      </c>
      <c r="AK35" t="s">
        <v>437</v>
      </c>
      <c r="AL35" t="s">
        <v>633</v>
      </c>
      <c r="AM35" t="s">
        <v>481</v>
      </c>
      <c r="AN35" t="s">
        <v>439</v>
      </c>
      <c r="AO35" t="s">
        <v>426</v>
      </c>
      <c r="AP35">
        <v>31</v>
      </c>
      <c r="AQ35">
        <v>47050420</v>
      </c>
      <c r="AR35">
        <v>-2521008</v>
      </c>
      <c r="AS35">
        <v>-2521008</v>
      </c>
      <c r="AT35">
        <v>42008403</v>
      </c>
      <c r="AU35">
        <v>43474588</v>
      </c>
      <c r="AV35">
        <v>-1466185</v>
      </c>
      <c r="AW35" t="s">
        <v>785</v>
      </c>
      <c r="AX35">
        <v>0</v>
      </c>
      <c r="AY35">
        <v>2749605</v>
      </c>
      <c r="AZ35">
        <v>2749605</v>
      </c>
      <c r="BA35">
        <v>0</v>
      </c>
      <c r="BB35" t="s">
        <v>441</v>
      </c>
      <c r="BC35">
        <v>110500</v>
      </c>
      <c r="BD35">
        <v>168487</v>
      </c>
      <c r="BE35">
        <v>0</v>
      </c>
      <c r="BF35">
        <v>0</v>
      </c>
      <c r="BG35" t="s">
        <v>441</v>
      </c>
      <c r="BH35">
        <v>0</v>
      </c>
      <c r="BI35">
        <v>0</v>
      </c>
      <c r="BJ35">
        <v>0</v>
      </c>
      <c r="BK35">
        <v>0</v>
      </c>
      <c r="BL35" t="s">
        <v>441</v>
      </c>
      <c r="BM35">
        <v>44529412</v>
      </c>
      <c r="BN35">
        <v>44926495</v>
      </c>
      <c r="BO35">
        <v>46224193</v>
      </c>
      <c r="BP35">
        <v>-1297698</v>
      </c>
      <c r="BQ35" t="s">
        <v>786</v>
      </c>
      <c r="BR35">
        <v>-1297698</v>
      </c>
      <c r="BS35" t="s">
        <v>786</v>
      </c>
      <c r="BT35">
        <v>0</v>
      </c>
      <c r="BU35">
        <v>0</v>
      </c>
      <c r="BV35">
        <v>52940105</v>
      </c>
      <c r="BW35">
        <v>0</v>
      </c>
      <c r="BX35">
        <v>2749605</v>
      </c>
      <c r="BY35">
        <v>168487</v>
      </c>
      <c r="BZ35">
        <v>52940104</v>
      </c>
      <c r="CA35">
        <v>44926495</v>
      </c>
      <c r="CB35" s="2">
        <v>-1297698</v>
      </c>
      <c r="CC35" t="s">
        <v>786</v>
      </c>
      <c r="CD35" t="s">
        <v>426</v>
      </c>
      <c r="CE35">
        <v>0</v>
      </c>
      <c r="CF35" t="s">
        <v>426</v>
      </c>
      <c r="CG35">
        <v>0</v>
      </c>
      <c r="CH35">
        <v>0</v>
      </c>
      <c r="CI35">
        <v>0</v>
      </c>
      <c r="CJ35" t="s">
        <v>426</v>
      </c>
    </row>
    <row r="36" spans="1:88">
      <c r="A36" t="s">
        <v>426</v>
      </c>
      <c r="B36" t="s">
        <v>426</v>
      </c>
      <c r="C36" t="s">
        <v>426</v>
      </c>
      <c r="D36" t="s">
        <v>426</v>
      </c>
      <c r="E36" t="s">
        <v>426</v>
      </c>
      <c r="F36" t="s">
        <v>426</v>
      </c>
      <c r="G36" t="s">
        <v>426</v>
      </c>
      <c r="H36" t="s">
        <v>426</v>
      </c>
      <c r="I36" t="s">
        <v>426</v>
      </c>
      <c r="J36" t="s">
        <v>426</v>
      </c>
      <c r="K36" t="s">
        <v>426</v>
      </c>
      <c r="L36" t="s">
        <v>426</v>
      </c>
      <c r="M36" t="s">
        <v>426</v>
      </c>
      <c r="N36" t="s">
        <v>426</v>
      </c>
      <c r="O36" t="s">
        <v>426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 t="s">
        <v>426</v>
      </c>
      <c r="Z36" t="s">
        <v>426</v>
      </c>
      <c r="AA36" t="s">
        <v>426</v>
      </c>
      <c r="AB36" t="s">
        <v>426</v>
      </c>
      <c r="AC36" t="s">
        <v>426</v>
      </c>
      <c r="AD36" t="s">
        <v>426</v>
      </c>
      <c r="AE36" t="s">
        <v>426</v>
      </c>
      <c r="AF36" t="s">
        <v>426</v>
      </c>
      <c r="AG36" t="s">
        <v>426</v>
      </c>
      <c r="AH36" t="s">
        <v>426</v>
      </c>
      <c r="AI36" t="s">
        <v>426</v>
      </c>
      <c r="AJ36" t="s">
        <v>426</v>
      </c>
      <c r="AK36" t="s">
        <v>426</v>
      </c>
      <c r="AL36" t="s">
        <v>426</v>
      </c>
      <c r="AM36" t="s">
        <v>426</v>
      </c>
      <c r="AN36" t="s">
        <v>426</v>
      </c>
      <c r="AO36" t="s">
        <v>426</v>
      </c>
      <c r="AP36" t="s">
        <v>426</v>
      </c>
      <c r="AQ36" t="s">
        <v>426</v>
      </c>
      <c r="AR36" t="s">
        <v>426</v>
      </c>
      <c r="AS36" t="s">
        <v>426</v>
      </c>
      <c r="AT36" t="s">
        <v>426</v>
      </c>
      <c r="AU36" t="s">
        <v>426</v>
      </c>
      <c r="AV36" t="s">
        <v>426</v>
      </c>
      <c r="AW36" t="s">
        <v>426</v>
      </c>
      <c r="AX36" t="s">
        <v>426</v>
      </c>
      <c r="AY36" t="s">
        <v>426</v>
      </c>
      <c r="AZ36" t="s">
        <v>426</v>
      </c>
      <c r="BA36" t="s">
        <v>426</v>
      </c>
      <c r="BB36" t="s">
        <v>426</v>
      </c>
      <c r="BC36" t="s">
        <v>426</v>
      </c>
      <c r="BD36" t="s">
        <v>426</v>
      </c>
      <c r="BE36" t="s">
        <v>426</v>
      </c>
      <c r="BF36" t="s">
        <v>426</v>
      </c>
      <c r="BG36" t="s">
        <v>426</v>
      </c>
      <c r="BH36" t="s">
        <v>426</v>
      </c>
      <c r="BI36" t="s">
        <v>426</v>
      </c>
      <c r="BJ36" t="s">
        <v>426</v>
      </c>
      <c r="BK36" t="s">
        <v>426</v>
      </c>
      <c r="BL36" t="s">
        <v>426</v>
      </c>
      <c r="BM36" t="s">
        <v>426</v>
      </c>
      <c r="BN36" t="s">
        <v>426</v>
      </c>
      <c r="BO36" t="s">
        <v>426</v>
      </c>
      <c r="BP36" t="s">
        <v>426</v>
      </c>
      <c r="BQ36" t="s">
        <v>426</v>
      </c>
      <c r="BR36" t="s">
        <v>426</v>
      </c>
      <c r="BS36" t="s">
        <v>426</v>
      </c>
      <c r="BT36" t="s">
        <v>426</v>
      </c>
      <c r="BU36" t="s">
        <v>426</v>
      </c>
      <c r="BV36" t="s">
        <v>426</v>
      </c>
      <c r="BW36" t="s">
        <v>426</v>
      </c>
      <c r="BX36" t="s">
        <v>426</v>
      </c>
      <c r="BY36" t="s">
        <v>426</v>
      </c>
      <c r="BZ36" t="s">
        <v>426</v>
      </c>
      <c r="CA36" t="s">
        <v>426</v>
      </c>
      <c r="CB36" t="s">
        <v>426</v>
      </c>
      <c r="CC36" t="s">
        <v>426</v>
      </c>
      <c r="CD36" t="s">
        <v>426</v>
      </c>
      <c r="CE36" t="s">
        <v>426</v>
      </c>
      <c r="CF36" t="s">
        <v>426</v>
      </c>
      <c r="CG36" t="s">
        <v>426</v>
      </c>
      <c r="CH36" t="s">
        <v>426</v>
      </c>
      <c r="CI36" t="s">
        <v>426</v>
      </c>
      <c r="CJ36" t="s">
        <v>426</v>
      </c>
    </row>
  </sheetData>
  <autoFilter ref="A1:CJ36" xr:uid="{F3E4620B-AF57-4B2A-B1E1-FC382150C58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0D03-0797-4A19-812B-ED8831CAD090}">
  <dimension ref="A1:CI15"/>
  <sheetViews>
    <sheetView topLeftCell="AF1" workbookViewId="0">
      <selection activeCell="E12" sqref="E12"/>
    </sheetView>
  </sheetViews>
  <sheetFormatPr baseColWidth="10" defaultColWidth="11.5703125" defaultRowHeight="15"/>
  <cols>
    <col min="1" max="1" width="14.140625" bestFit="1" customWidth="1"/>
    <col min="2" max="2" width="28" bestFit="1" customWidth="1"/>
    <col min="3" max="3" width="18.140625" bestFit="1" customWidth="1"/>
    <col min="4" max="4" width="11.140625" bestFit="1" customWidth="1"/>
    <col min="5" max="5" width="72.140625" bestFit="1" customWidth="1"/>
    <col min="6" max="6" width="9" bestFit="1" customWidth="1"/>
    <col min="7" max="7" width="6.28515625" bestFit="1" customWidth="1"/>
    <col min="8" max="8" width="40.5703125" bestFit="1" customWidth="1"/>
    <col min="9" max="9" width="12.7109375" bestFit="1" customWidth="1"/>
    <col min="10" max="10" width="14.42578125" bestFit="1" customWidth="1"/>
    <col min="11" max="11" width="18.42578125" bestFit="1" customWidth="1"/>
    <col min="12" max="12" width="15" bestFit="1" customWidth="1"/>
    <col min="13" max="13" width="17" bestFit="1" customWidth="1"/>
    <col min="14" max="14" width="37.28515625" bestFit="1" customWidth="1"/>
    <col min="15" max="15" width="16.5703125" bestFit="1" customWidth="1"/>
    <col min="16" max="16" width="7.5703125" bestFit="1" customWidth="1"/>
    <col min="17" max="17" width="7.85546875" bestFit="1" customWidth="1"/>
    <col min="18" max="18" width="30.5703125" bestFit="1" customWidth="1"/>
    <col min="19" max="19" width="23.85546875" bestFit="1" customWidth="1"/>
    <col min="21" max="21" width="14.140625" bestFit="1" customWidth="1"/>
    <col min="22" max="24" width="20" bestFit="1" customWidth="1"/>
    <col min="25" max="25" width="16.5703125" bestFit="1" customWidth="1"/>
    <col min="26" max="26" width="5" bestFit="1" customWidth="1"/>
    <col min="27" max="27" width="15.85546875" bestFit="1" customWidth="1"/>
    <col min="28" max="28" width="16.140625" bestFit="1" customWidth="1"/>
    <col min="29" max="29" width="17.140625" bestFit="1" customWidth="1"/>
    <col min="30" max="30" width="15.5703125" bestFit="1" customWidth="1"/>
    <col min="31" max="31" width="55.42578125" bestFit="1" customWidth="1"/>
    <col min="32" max="32" width="13.85546875" bestFit="1" customWidth="1"/>
    <col min="33" max="33" width="19.42578125" bestFit="1" customWidth="1"/>
    <col min="34" max="34" width="19.5703125" bestFit="1" customWidth="1"/>
    <col min="35" max="35" width="5.42578125" bestFit="1" customWidth="1"/>
    <col min="36" max="36" width="20.5703125" bestFit="1" customWidth="1"/>
    <col min="37" max="37" width="23.42578125" bestFit="1" customWidth="1"/>
    <col min="38" max="38" width="10.5703125" bestFit="1" customWidth="1"/>
    <col min="39" max="39" width="14" bestFit="1" customWidth="1"/>
    <col min="40" max="40" width="12.7109375" bestFit="1" customWidth="1"/>
    <col min="41" max="41" width="9.7109375" bestFit="1" customWidth="1"/>
    <col min="42" max="42" width="11" bestFit="1" customWidth="1"/>
    <col min="43" max="43" width="16.140625" bestFit="1" customWidth="1"/>
    <col min="44" max="44" width="17.28515625" bestFit="1" customWidth="1"/>
    <col min="45" max="45" width="13" bestFit="1" customWidth="1"/>
    <col min="46" max="46" width="12.7109375" bestFit="1" customWidth="1"/>
    <col min="47" max="47" width="14.42578125" bestFit="1" customWidth="1"/>
    <col min="48" max="48" width="8.28515625" bestFit="1" customWidth="1"/>
    <col min="49" max="49" width="26.85546875" bestFit="1" customWidth="1"/>
    <col min="50" max="50" width="14.42578125" bestFit="1" customWidth="1"/>
    <col min="51" max="51" width="14.140625" bestFit="1" customWidth="1"/>
    <col min="52" max="52" width="15.85546875" bestFit="1" customWidth="1"/>
    <col min="53" max="53" width="6.7109375" bestFit="1" customWidth="1"/>
    <col min="54" max="54" width="28.5703125" bestFit="1" customWidth="1"/>
    <col min="55" max="55" width="16.28515625" bestFit="1" customWidth="1"/>
    <col min="56" max="56" width="15.85546875" bestFit="1" customWidth="1"/>
    <col min="57" max="57" width="17.7109375" bestFit="1" customWidth="1"/>
    <col min="58" max="58" width="4" bestFit="1" customWidth="1"/>
    <col min="59" max="59" width="15.42578125" bestFit="1" customWidth="1"/>
    <col min="60" max="60" width="21.42578125" bestFit="1" customWidth="1"/>
    <col min="61" max="61" width="18.140625" bestFit="1" customWidth="1"/>
    <col min="62" max="62" width="19.85546875" bestFit="1" customWidth="1"/>
    <col min="63" max="63" width="20.140625" bestFit="1" customWidth="1"/>
    <col min="64" max="64" width="15.85546875" bestFit="1" customWidth="1"/>
    <col min="65" max="65" width="14.42578125" bestFit="1" customWidth="1"/>
    <col min="66" max="66" width="14.140625" bestFit="1" customWidth="1"/>
    <col min="67" max="67" width="32.85546875" bestFit="1" customWidth="1"/>
    <col min="68" max="68" width="8.28515625" bestFit="1" customWidth="1"/>
    <col min="69" max="69" width="19.7109375" bestFit="1" customWidth="1"/>
    <col min="70" max="70" width="32.85546875" bestFit="1" customWidth="1"/>
    <col min="71" max="71" width="12.140625" bestFit="1" customWidth="1"/>
    <col min="72" max="72" width="12.7109375" bestFit="1" customWidth="1"/>
    <col min="73" max="73" width="11.7109375" bestFit="1" customWidth="1"/>
    <col min="74" max="74" width="10.7109375" bestFit="1" customWidth="1"/>
    <col min="75" max="75" width="18.5703125" bestFit="1" customWidth="1"/>
    <col min="76" max="76" width="21.28515625" bestFit="1" customWidth="1"/>
    <col min="77" max="77" width="11.140625" bestFit="1" customWidth="1"/>
    <col min="78" max="78" width="26.5703125" bestFit="1" customWidth="1"/>
    <col min="79" max="79" width="16.28515625" bestFit="1" customWidth="1"/>
    <col min="80" max="80" width="20.140625" bestFit="1" customWidth="1"/>
    <col min="81" max="82" width="14.7109375" bestFit="1" customWidth="1"/>
    <col min="83" max="84" width="14.28515625" bestFit="1" customWidth="1"/>
    <col min="85" max="85" width="8" bestFit="1" customWidth="1"/>
    <col min="86" max="86" width="7" bestFit="1" customWidth="1"/>
    <col min="87" max="87" width="12.5703125" bestFit="1" customWidth="1"/>
  </cols>
  <sheetData>
    <row r="1" spans="1:87">
      <c r="A1" t="s">
        <v>0</v>
      </c>
      <c r="B1" t="s">
        <v>1</v>
      </c>
      <c r="C1" t="s">
        <v>338</v>
      </c>
      <c r="D1" t="s">
        <v>339</v>
      </c>
      <c r="E1" t="s">
        <v>2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350</v>
      </c>
      <c r="P1" t="s">
        <v>3</v>
      </c>
      <c r="Q1" t="s">
        <v>351</v>
      </c>
      <c r="R1" t="s">
        <v>352</v>
      </c>
      <c r="S1" t="s">
        <v>353</v>
      </c>
      <c r="T1" t="s">
        <v>354</v>
      </c>
      <c r="U1" t="s">
        <v>355</v>
      </c>
      <c r="V1" t="s">
        <v>356</v>
      </c>
      <c r="W1" t="s">
        <v>357</v>
      </c>
      <c r="X1" t="s">
        <v>358</v>
      </c>
      <c r="Y1" t="s">
        <v>359</v>
      </c>
      <c r="Z1" t="s">
        <v>360</v>
      </c>
      <c r="AA1" t="s">
        <v>361</v>
      </c>
      <c r="AB1" t="s">
        <v>362</v>
      </c>
      <c r="AC1" t="s">
        <v>363</v>
      </c>
      <c r="AD1" t="s">
        <v>364</v>
      </c>
      <c r="AE1" t="s">
        <v>365</v>
      </c>
      <c r="AF1" t="s">
        <v>366</v>
      </c>
      <c r="AG1" t="s">
        <v>367</v>
      </c>
      <c r="AH1" t="s">
        <v>368</v>
      </c>
      <c r="AI1" t="s">
        <v>369</v>
      </c>
      <c r="AJ1" t="s">
        <v>370</v>
      </c>
      <c r="AK1" t="s">
        <v>371</v>
      </c>
      <c r="AL1" t="s">
        <v>372</v>
      </c>
      <c r="AM1" t="s">
        <v>373</v>
      </c>
      <c r="AN1" t="s">
        <v>374</v>
      </c>
      <c r="AO1" t="s">
        <v>375</v>
      </c>
      <c r="AP1" t="s">
        <v>376</v>
      </c>
      <c r="AQ1" t="s">
        <v>377</v>
      </c>
      <c r="AR1" t="s">
        <v>378</v>
      </c>
      <c r="AS1" t="s">
        <v>379</v>
      </c>
      <c r="AT1" t="s">
        <v>380</v>
      </c>
      <c r="AU1" t="s">
        <v>381</v>
      </c>
      <c r="AV1" t="s">
        <v>382</v>
      </c>
      <c r="AW1" t="s">
        <v>383</v>
      </c>
      <c r="AX1" t="s">
        <v>384</v>
      </c>
      <c r="AY1" t="s">
        <v>385</v>
      </c>
      <c r="AZ1" t="s">
        <v>386</v>
      </c>
      <c r="BA1" t="s">
        <v>387</v>
      </c>
      <c r="BB1" t="s">
        <v>388</v>
      </c>
      <c r="BC1" t="s">
        <v>389</v>
      </c>
      <c r="BD1" t="s">
        <v>390</v>
      </c>
      <c r="BE1" t="s">
        <v>391</v>
      </c>
      <c r="BF1" t="s">
        <v>392</v>
      </c>
      <c r="BG1" t="s">
        <v>393</v>
      </c>
      <c r="BH1" t="s">
        <v>394</v>
      </c>
      <c r="BI1" t="s">
        <v>395</v>
      </c>
      <c r="BJ1" t="s">
        <v>396</v>
      </c>
      <c r="BK1" t="s">
        <v>397</v>
      </c>
      <c r="BL1" t="s">
        <v>398</v>
      </c>
      <c r="BM1" t="s">
        <v>399</v>
      </c>
      <c r="BN1" t="s">
        <v>400</v>
      </c>
      <c r="BO1" t="s">
        <v>401</v>
      </c>
      <c r="BP1" t="s">
        <v>402</v>
      </c>
      <c r="BQ1" t="s">
        <v>403</v>
      </c>
      <c r="BR1" t="s">
        <v>404</v>
      </c>
      <c r="BS1" t="s">
        <v>405</v>
      </c>
      <c r="BT1" t="s">
        <v>406</v>
      </c>
      <c r="BU1" t="s">
        <v>407</v>
      </c>
      <c r="BV1" t="s">
        <v>408</v>
      </c>
      <c r="BW1" t="s">
        <v>409</v>
      </c>
      <c r="BX1" t="s">
        <v>410</v>
      </c>
      <c r="BY1" t="s">
        <v>411</v>
      </c>
      <c r="BZ1" t="s">
        <v>412</v>
      </c>
      <c r="CA1" t="s">
        <v>413</v>
      </c>
      <c r="CB1" t="s">
        <v>414</v>
      </c>
      <c r="CC1" t="s">
        <v>415</v>
      </c>
      <c r="CD1" t="s">
        <v>416</v>
      </c>
      <c r="CE1" t="s">
        <v>417</v>
      </c>
      <c r="CF1" t="s">
        <v>418</v>
      </c>
      <c r="CG1" t="s">
        <v>419</v>
      </c>
      <c r="CH1" t="s">
        <v>420</v>
      </c>
      <c r="CI1" t="s">
        <v>421</v>
      </c>
    </row>
    <row r="2" spans="1:87">
      <c r="A2" t="s">
        <v>32</v>
      </c>
      <c r="B2" t="s">
        <v>14</v>
      </c>
      <c r="C2" t="s">
        <v>788</v>
      </c>
      <c r="D2">
        <v>5810</v>
      </c>
      <c r="E2" t="s">
        <v>40</v>
      </c>
      <c r="F2">
        <v>76009782</v>
      </c>
      <c r="G2" t="s">
        <v>760</v>
      </c>
      <c r="H2" t="s">
        <v>789</v>
      </c>
      <c r="I2" t="s">
        <v>790</v>
      </c>
      <c r="J2" t="s">
        <v>791</v>
      </c>
      <c r="K2" t="s">
        <v>426</v>
      </c>
      <c r="L2" t="s">
        <v>792</v>
      </c>
      <c r="M2" t="s">
        <v>793</v>
      </c>
      <c r="N2" t="s">
        <v>794</v>
      </c>
      <c r="O2" t="s">
        <v>490</v>
      </c>
      <c r="P2" t="s">
        <v>36</v>
      </c>
      <c r="Q2" t="s">
        <v>787</v>
      </c>
      <c r="R2" t="s">
        <v>37</v>
      </c>
      <c r="S2" t="s">
        <v>795</v>
      </c>
      <c r="T2" t="s">
        <v>39</v>
      </c>
      <c r="U2" t="s">
        <v>41</v>
      </c>
      <c r="V2" t="s">
        <v>42</v>
      </c>
      <c r="W2" t="s">
        <v>42</v>
      </c>
      <c r="X2" t="s">
        <v>42</v>
      </c>
      <c r="Y2" t="s">
        <v>433</v>
      </c>
      <c r="Z2">
        <v>2025</v>
      </c>
      <c r="AA2" t="s">
        <v>434</v>
      </c>
      <c r="AB2">
        <v>19896</v>
      </c>
      <c r="AC2" t="s">
        <v>562</v>
      </c>
      <c r="AD2" t="s">
        <v>426</v>
      </c>
      <c r="AE2" t="s">
        <v>796</v>
      </c>
      <c r="AF2">
        <v>18978600</v>
      </c>
      <c r="AG2" t="s">
        <v>564</v>
      </c>
      <c r="AH2" t="s">
        <v>426</v>
      </c>
      <c r="AI2">
        <v>0</v>
      </c>
      <c r="AJ2" t="s">
        <v>426</v>
      </c>
      <c r="AK2" t="s">
        <v>564</v>
      </c>
      <c r="AL2" t="s">
        <v>454</v>
      </c>
      <c r="AM2" t="s">
        <v>439</v>
      </c>
      <c r="AN2" t="s">
        <v>426</v>
      </c>
      <c r="AO2">
        <v>52</v>
      </c>
      <c r="AP2">
        <v>20190000</v>
      </c>
      <c r="AQ2">
        <v>-2019034</v>
      </c>
      <c r="AR2">
        <v>0</v>
      </c>
      <c r="AS2">
        <v>18170966</v>
      </c>
      <c r="AT2">
        <v>17464350</v>
      </c>
      <c r="AU2">
        <v>706616</v>
      </c>
      <c r="AV2" t="s">
        <v>797</v>
      </c>
      <c r="AW2">
        <v>0</v>
      </c>
      <c r="AX2">
        <v>0</v>
      </c>
      <c r="AY2">
        <v>0</v>
      </c>
      <c r="AZ2">
        <v>0</v>
      </c>
      <c r="BA2" t="s">
        <v>441</v>
      </c>
      <c r="BB2">
        <v>0</v>
      </c>
      <c r="BC2">
        <v>0</v>
      </c>
      <c r="BD2">
        <v>0</v>
      </c>
      <c r="BE2">
        <v>0</v>
      </c>
      <c r="BF2" t="s">
        <v>441</v>
      </c>
      <c r="BG2">
        <v>0</v>
      </c>
      <c r="BH2">
        <v>0</v>
      </c>
      <c r="BI2">
        <v>0</v>
      </c>
      <c r="BJ2">
        <v>0</v>
      </c>
      <c r="BK2" t="s">
        <v>441</v>
      </c>
      <c r="BL2">
        <v>18170966</v>
      </c>
      <c r="BM2">
        <v>18170966</v>
      </c>
      <c r="BN2">
        <v>17699350</v>
      </c>
      <c r="BO2">
        <v>471616</v>
      </c>
      <c r="BP2" t="s">
        <v>798</v>
      </c>
      <c r="BQ2">
        <v>471616</v>
      </c>
      <c r="BR2" t="s">
        <v>798</v>
      </c>
      <c r="BS2">
        <v>0</v>
      </c>
      <c r="BT2">
        <v>0</v>
      </c>
      <c r="BU2">
        <v>21623450</v>
      </c>
      <c r="BV2">
        <v>0</v>
      </c>
      <c r="BW2">
        <v>0</v>
      </c>
      <c r="BX2">
        <v>0</v>
      </c>
      <c r="BY2">
        <v>21623450</v>
      </c>
      <c r="BZ2">
        <v>18170966</v>
      </c>
      <c r="CA2" s="2">
        <v>471616</v>
      </c>
      <c r="CB2" t="s">
        <v>798</v>
      </c>
      <c r="CC2" t="s">
        <v>426</v>
      </c>
      <c r="CD2">
        <v>0</v>
      </c>
      <c r="CE2" t="s">
        <v>426</v>
      </c>
      <c r="CF2">
        <v>0</v>
      </c>
      <c r="CG2">
        <v>1801958</v>
      </c>
      <c r="CH2">
        <v>235000</v>
      </c>
      <c r="CI2" t="s">
        <v>426</v>
      </c>
    </row>
    <row r="3" spans="1:87">
      <c r="A3" t="s">
        <v>32</v>
      </c>
      <c r="B3" t="s">
        <v>33</v>
      </c>
      <c r="C3" t="s">
        <v>799</v>
      </c>
      <c r="D3">
        <v>5885</v>
      </c>
      <c r="E3" t="s">
        <v>181</v>
      </c>
      <c r="F3">
        <v>13161261</v>
      </c>
      <c r="G3" t="s">
        <v>423</v>
      </c>
      <c r="H3" t="s">
        <v>800</v>
      </c>
      <c r="I3" t="s">
        <v>426</v>
      </c>
      <c r="J3" t="s">
        <v>801</v>
      </c>
      <c r="K3" t="s">
        <v>426</v>
      </c>
      <c r="L3" t="s">
        <v>802</v>
      </c>
      <c r="M3" t="s">
        <v>803</v>
      </c>
      <c r="N3" t="s">
        <v>804</v>
      </c>
      <c r="O3" t="s">
        <v>430</v>
      </c>
      <c r="P3" t="s">
        <v>34</v>
      </c>
      <c r="Q3" t="s">
        <v>805</v>
      </c>
      <c r="R3" t="s">
        <v>47</v>
      </c>
      <c r="S3" t="s">
        <v>806</v>
      </c>
      <c r="T3" t="s">
        <v>35</v>
      </c>
      <c r="U3" t="s">
        <v>182</v>
      </c>
      <c r="V3" t="s">
        <v>183</v>
      </c>
      <c r="W3" t="s">
        <v>183</v>
      </c>
      <c r="X3" t="s">
        <v>183</v>
      </c>
      <c r="Y3" t="s">
        <v>433</v>
      </c>
      <c r="Z3">
        <v>2024</v>
      </c>
      <c r="AA3" t="s">
        <v>584</v>
      </c>
      <c r="AB3">
        <v>19886</v>
      </c>
      <c r="AC3" t="s">
        <v>671</v>
      </c>
      <c r="AD3" t="s">
        <v>426</v>
      </c>
      <c r="AE3" t="s">
        <v>807</v>
      </c>
      <c r="AF3">
        <v>12748571</v>
      </c>
      <c r="AG3" t="s">
        <v>808</v>
      </c>
      <c r="AH3" t="s">
        <v>426</v>
      </c>
      <c r="AI3">
        <v>0</v>
      </c>
      <c r="AJ3" t="s">
        <v>543</v>
      </c>
      <c r="AK3" t="s">
        <v>808</v>
      </c>
      <c r="AL3" t="s">
        <v>481</v>
      </c>
      <c r="AM3" t="s">
        <v>439</v>
      </c>
      <c r="AN3" t="s">
        <v>809</v>
      </c>
      <c r="AO3">
        <v>506</v>
      </c>
      <c r="AP3">
        <v>14697479</v>
      </c>
      <c r="AQ3">
        <v>-2521008</v>
      </c>
      <c r="AR3">
        <v>-1680672</v>
      </c>
      <c r="AS3">
        <v>10495798</v>
      </c>
      <c r="AT3">
        <v>12748571</v>
      </c>
      <c r="AU3">
        <v>-2252773</v>
      </c>
      <c r="AV3" t="s">
        <v>810</v>
      </c>
      <c r="AW3">
        <v>0</v>
      </c>
      <c r="AX3">
        <v>699835</v>
      </c>
      <c r="AY3">
        <v>699835</v>
      </c>
      <c r="AZ3">
        <v>0</v>
      </c>
      <c r="BA3" t="s">
        <v>441</v>
      </c>
      <c r="BB3">
        <v>0</v>
      </c>
      <c r="BC3">
        <v>0</v>
      </c>
      <c r="BD3">
        <v>0</v>
      </c>
      <c r="BE3">
        <v>0</v>
      </c>
      <c r="BF3" t="s">
        <v>441</v>
      </c>
      <c r="BG3">
        <v>0</v>
      </c>
      <c r="BH3">
        <v>0</v>
      </c>
      <c r="BI3">
        <v>0</v>
      </c>
      <c r="BJ3">
        <v>0</v>
      </c>
      <c r="BK3" t="s">
        <v>441</v>
      </c>
      <c r="BL3">
        <v>12176471</v>
      </c>
      <c r="BM3">
        <v>11195633</v>
      </c>
      <c r="BN3">
        <v>13448406</v>
      </c>
      <c r="BO3">
        <v>-2252773</v>
      </c>
      <c r="BP3" t="s">
        <v>811</v>
      </c>
      <c r="BQ3">
        <v>-2252773</v>
      </c>
      <c r="BR3" t="s">
        <v>811</v>
      </c>
      <c r="BS3">
        <v>0</v>
      </c>
      <c r="BT3">
        <v>3500000</v>
      </c>
      <c r="BU3">
        <v>9738652</v>
      </c>
      <c r="BV3">
        <v>-48817</v>
      </c>
      <c r="BW3">
        <v>699835</v>
      </c>
      <c r="BX3">
        <v>0</v>
      </c>
      <c r="BY3">
        <v>13189835</v>
      </c>
      <c r="BZ3">
        <v>11195633</v>
      </c>
      <c r="CA3" s="2">
        <v>-2252773</v>
      </c>
      <c r="CB3" t="s">
        <v>811</v>
      </c>
      <c r="CC3" t="s">
        <v>426</v>
      </c>
      <c r="CD3">
        <v>0</v>
      </c>
      <c r="CE3" t="s">
        <v>426</v>
      </c>
      <c r="CF3">
        <v>0</v>
      </c>
      <c r="CG3">
        <v>0</v>
      </c>
      <c r="CH3">
        <v>0</v>
      </c>
      <c r="CI3" t="s">
        <v>426</v>
      </c>
    </row>
    <row r="4" spans="1:87">
      <c r="A4" t="s">
        <v>32</v>
      </c>
      <c r="B4" t="s">
        <v>55</v>
      </c>
      <c r="C4" t="s">
        <v>812</v>
      </c>
      <c r="D4">
        <v>5897</v>
      </c>
      <c r="E4" t="s">
        <v>184</v>
      </c>
      <c r="F4">
        <v>76235534</v>
      </c>
      <c r="G4" t="s">
        <v>676</v>
      </c>
      <c r="H4" t="s">
        <v>813</v>
      </c>
      <c r="I4" t="s">
        <v>814</v>
      </c>
      <c r="J4" t="s">
        <v>815</v>
      </c>
      <c r="K4" t="s">
        <v>426</v>
      </c>
      <c r="L4" t="s">
        <v>816</v>
      </c>
      <c r="M4" t="s">
        <v>426</v>
      </c>
      <c r="N4" t="s">
        <v>817</v>
      </c>
      <c r="O4" t="s">
        <v>490</v>
      </c>
      <c r="P4" t="s">
        <v>36</v>
      </c>
      <c r="Q4" t="s">
        <v>818</v>
      </c>
      <c r="R4" t="s">
        <v>185</v>
      </c>
      <c r="S4" t="s">
        <v>185</v>
      </c>
      <c r="T4" t="s">
        <v>39</v>
      </c>
      <c r="U4" t="s">
        <v>186</v>
      </c>
      <c r="V4" t="s">
        <v>187</v>
      </c>
      <c r="W4" t="s">
        <v>187</v>
      </c>
      <c r="X4" t="s">
        <v>187</v>
      </c>
      <c r="Y4" t="s">
        <v>433</v>
      </c>
      <c r="Z4">
        <v>2023</v>
      </c>
      <c r="AA4" t="s">
        <v>584</v>
      </c>
      <c r="AB4">
        <v>19844</v>
      </c>
      <c r="AC4" t="s">
        <v>478</v>
      </c>
      <c r="AD4" t="s">
        <v>426</v>
      </c>
      <c r="AE4" t="s">
        <v>819</v>
      </c>
      <c r="AF4">
        <v>15190500</v>
      </c>
      <c r="AG4" t="s">
        <v>478</v>
      </c>
      <c r="AH4" t="s">
        <v>426</v>
      </c>
      <c r="AI4">
        <v>0</v>
      </c>
      <c r="AJ4" t="s">
        <v>565</v>
      </c>
      <c r="AK4" t="s">
        <v>478</v>
      </c>
      <c r="AL4" t="s">
        <v>438</v>
      </c>
      <c r="AM4" t="s">
        <v>439</v>
      </c>
      <c r="AN4" t="s">
        <v>426</v>
      </c>
      <c r="AO4">
        <v>15</v>
      </c>
      <c r="AP4">
        <v>20990000</v>
      </c>
      <c r="AQ4">
        <v>0</v>
      </c>
      <c r="AR4">
        <v>-4443782</v>
      </c>
      <c r="AS4">
        <v>16546218</v>
      </c>
      <c r="AT4">
        <v>15190500</v>
      </c>
      <c r="AU4">
        <v>1355718</v>
      </c>
      <c r="AV4" t="s">
        <v>820</v>
      </c>
      <c r="AW4">
        <v>0</v>
      </c>
      <c r="AX4">
        <v>573980</v>
      </c>
      <c r="AY4">
        <v>573980</v>
      </c>
      <c r="AZ4">
        <v>0</v>
      </c>
      <c r="BA4" t="s">
        <v>441</v>
      </c>
      <c r="BB4">
        <v>0</v>
      </c>
      <c r="BC4">
        <v>0</v>
      </c>
      <c r="BD4">
        <v>0</v>
      </c>
      <c r="BE4">
        <v>0</v>
      </c>
      <c r="BF4" t="s">
        <v>441</v>
      </c>
      <c r="BG4">
        <v>0</v>
      </c>
      <c r="BH4">
        <v>0</v>
      </c>
      <c r="BI4">
        <v>0</v>
      </c>
      <c r="BJ4">
        <v>0</v>
      </c>
      <c r="BK4" t="s">
        <v>441</v>
      </c>
      <c r="BL4">
        <v>20990000</v>
      </c>
      <c r="BM4">
        <v>17120198</v>
      </c>
      <c r="BN4">
        <v>15764480</v>
      </c>
      <c r="BO4">
        <v>1355718</v>
      </c>
      <c r="BP4" t="s">
        <v>821</v>
      </c>
      <c r="BQ4">
        <v>1355718</v>
      </c>
      <c r="BR4" t="s">
        <v>821</v>
      </c>
      <c r="BS4">
        <v>0</v>
      </c>
      <c r="BT4">
        <v>0</v>
      </c>
      <c r="BU4">
        <v>20263980</v>
      </c>
      <c r="BV4">
        <v>0</v>
      </c>
      <c r="BW4">
        <v>573980</v>
      </c>
      <c r="BX4">
        <v>0</v>
      </c>
      <c r="BY4">
        <v>20263979</v>
      </c>
      <c r="BZ4">
        <v>17120198</v>
      </c>
      <c r="CA4" s="2">
        <v>1355718</v>
      </c>
      <c r="CB4" t="s">
        <v>821</v>
      </c>
      <c r="CC4" t="s">
        <v>426</v>
      </c>
      <c r="CD4">
        <v>0</v>
      </c>
      <c r="CE4" t="s">
        <v>426</v>
      </c>
      <c r="CF4">
        <v>0</v>
      </c>
      <c r="CG4">
        <v>0</v>
      </c>
      <c r="CH4">
        <v>0</v>
      </c>
      <c r="CI4" t="s">
        <v>426</v>
      </c>
    </row>
    <row r="5" spans="1:87">
      <c r="A5" t="s">
        <v>32</v>
      </c>
      <c r="B5" t="s">
        <v>43</v>
      </c>
      <c r="C5" t="s">
        <v>822</v>
      </c>
      <c r="D5">
        <v>5901</v>
      </c>
      <c r="E5" t="s">
        <v>188</v>
      </c>
      <c r="F5">
        <v>77722252</v>
      </c>
      <c r="G5" t="s">
        <v>444</v>
      </c>
      <c r="H5" t="s">
        <v>823</v>
      </c>
      <c r="I5" t="s">
        <v>426</v>
      </c>
      <c r="J5" t="s">
        <v>824</v>
      </c>
      <c r="K5" t="s">
        <v>426</v>
      </c>
      <c r="L5" t="s">
        <v>488</v>
      </c>
      <c r="M5" t="s">
        <v>825</v>
      </c>
      <c r="N5" t="s">
        <v>826</v>
      </c>
      <c r="O5" t="s">
        <v>490</v>
      </c>
      <c r="P5" t="s">
        <v>36</v>
      </c>
      <c r="Q5" t="s">
        <v>787</v>
      </c>
      <c r="R5" t="s">
        <v>45</v>
      </c>
      <c r="S5" t="s">
        <v>827</v>
      </c>
      <c r="T5" t="s">
        <v>38</v>
      </c>
      <c r="U5" t="s">
        <v>189</v>
      </c>
      <c r="V5" t="s">
        <v>190</v>
      </c>
      <c r="W5" t="s">
        <v>190</v>
      </c>
      <c r="X5" t="s">
        <v>190</v>
      </c>
      <c r="Y5" t="s">
        <v>433</v>
      </c>
      <c r="Z5">
        <v>2025</v>
      </c>
      <c r="AA5" t="s">
        <v>584</v>
      </c>
      <c r="AB5">
        <v>19891</v>
      </c>
      <c r="AC5" t="s">
        <v>828</v>
      </c>
      <c r="AD5" t="s">
        <v>426</v>
      </c>
      <c r="AE5" t="s">
        <v>829</v>
      </c>
      <c r="AF5">
        <v>19862800</v>
      </c>
      <c r="AG5" t="s">
        <v>830</v>
      </c>
      <c r="AH5" t="s">
        <v>426</v>
      </c>
      <c r="AI5">
        <v>0</v>
      </c>
      <c r="AJ5" t="s">
        <v>543</v>
      </c>
      <c r="AK5" t="s">
        <v>830</v>
      </c>
      <c r="AL5" t="s">
        <v>481</v>
      </c>
      <c r="AM5" t="s">
        <v>439</v>
      </c>
      <c r="AN5" t="s">
        <v>426</v>
      </c>
      <c r="AO5">
        <v>16</v>
      </c>
      <c r="AP5">
        <v>21290000</v>
      </c>
      <c r="AQ5">
        <v>-500000</v>
      </c>
      <c r="AR5">
        <v>-863600</v>
      </c>
      <c r="AS5">
        <v>20226400</v>
      </c>
      <c r="AT5">
        <v>19862800</v>
      </c>
      <c r="AU5">
        <v>363600</v>
      </c>
      <c r="AV5" t="s">
        <v>831</v>
      </c>
      <c r="AW5">
        <v>0</v>
      </c>
      <c r="AX5">
        <v>633536</v>
      </c>
      <c r="AY5">
        <v>633536</v>
      </c>
      <c r="AZ5">
        <v>0</v>
      </c>
      <c r="BA5" t="s">
        <v>441</v>
      </c>
      <c r="BB5">
        <v>0</v>
      </c>
      <c r="BC5">
        <v>0</v>
      </c>
      <c r="BD5">
        <v>0</v>
      </c>
      <c r="BE5">
        <v>0</v>
      </c>
      <c r="BF5" t="s">
        <v>441</v>
      </c>
      <c r="BG5">
        <v>0</v>
      </c>
      <c r="BH5">
        <v>0</v>
      </c>
      <c r="BI5">
        <v>0</v>
      </c>
      <c r="BJ5">
        <v>0</v>
      </c>
      <c r="BK5" t="s">
        <v>441</v>
      </c>
      <c r="BL5">
        <v>20790000</v>
      </c>
      <c r="BM5">
        <v>20859936</v>
      </c>
      <c r="BN5">
        <v>20496336</v>
      </c>
      <c r="BO5">
        <v>363600</v>
      </c>
      <c r="BP5" t="s">
        <v>832</v>
      </c>
      <c r="BQ5">
        <v>363600</v>
      </c>
      <c r="BR5" t="s">
        <v>832</v>
      </c>
      <c r="BS5">
        <v>0</v>
      </c>
      <c r="BT5">
        <v>0</v>
      </c>
      <c r="BU5">
        <v>24702952</v>
      </c>
      <c r="BV5">
        <v>0</v>
      </c>
      <c r="BW5">
        <v>633536</v>
      </c>
      <c r="BX5">
        <v>0</v>
      </c>
      <c r="BY5">
        <v>24702952</v>
      </c>
      <c r="BZ5">
        <v>20859936</v>
      </c>
      <c r="CA5" s="2">
        <v>363600</v>
      </c>
      <c r="CB5" t="s">
        <v>832</v>
      </c>
      <c r="CC5" t="s">
        <v>426</v>
      </c>
      <c r="CD5">
        <v>0</v>
      </c>
      <c r="CE5" t="s">
        <v>426</v>
      </c>
      <c r="CF5">
        <v>0</v>
      </c>
      <c r="CG5">
        <v>0</v>
      </c>
      <c r="CH5">
        <v>0</v>
      </c>
      <c r="CI5" t="s">
        <v>426</v>
      </c>
    </row>
    <row r="6" spans="1:87">
      <c r="A6" t="s">
        <v>32</v>
      </c>
      <c r="B6" t="s">
        <v>33</v>
      </c>
      <c r="C6" t="s">
        <v>833</v>
      </c>
      <c r="D6">
        <v>5911</v>
      </c>
      <c r="E6" t="s">
        <v>191</v>
      </c>
      <c r="F6">
        <v>76692680</v>
      </c>
      <c r="G6" t="s">
        <v>611</v>
      </c>
      <c r="H6" t="s">
        <v>834</v>
      </c>
      <c r="I6" t="s">
        <v>426</v>
      </c>
      <c r="J6" t="s">
        <v>835</v>
      </c>
      <c r="K6" t="s">
        <v>426</v>
      </c>
      <c r="L6" t="s">
        <v>816</v>
      </c>
      <c r="M6" t="s">
        <v>836</v>
      </c>
      <c r="N6" t="s">
        <v>837</v>
      </c>
      <c r="O6" t="s">
        <v>490</v>
      </c>
      <c r="P6" t="s">
        <v>36</v>
      </c>
      <c r="Q6" t="s">
        <v>787</v>
      </c>
      <c r="R6" t="s">
        <v>192</v>
      </c>
      <c r="S6" t="s">
        <v>192</v>
      </c>
      <c r="T6" t="s">
        <v>51</v>
      </c>
      <c r="U6" t="s">
        <v>193</v>
      </c>
      <c r="V6" t="s">
        <v>194</v>
      </c>
      <c r="W6" t="s">
        <v>194</v>
      </c>
      <c r="X6" t="s">
        <v>194</v>
      </c>
      <c r="Y6" t="s">
        <v>433</v>
      </c>
      <c r="Z6">
        <v>2025</v>
      </c>
      <c r="AA6" t="s">
        <v>584</v>
      </c>
      <c r="AB6">
        <v>19862</v>
      </c>
      <c r="AC6" t="s">
        <v>493</v>
      </c>
      <c r="AD6" t="s">
        <v>426</v>
      </c>
      <c r="AE6" t="s">
        <v>838</v>
      </c>
      <c r="AF6">
        <v>19586800</v>
      </c>
      <c r="AG6" t="s">
        <v>493</v>
      </c>
      <c r="AH6" t="s">
        <v>426</v>
      </c>
      <c r="AI6">
        <v>0</v>
      </c>
      <c r="AJ6" t="s">
        <v>543</v>
      </c>
      <c r="AK6" t="s">
        <v>493</v>
      </c>
      <c r="AL6" t="s">
        <v>499</v>
      </c>
      <c r="AM6" t="s">
        <v>439</v>
      </c>
      <c r="AN6" t="s">
        <v>426</v>
      </c>
      <c r="AO6">
        <v>109</v>
      </c>
      <c r="AP6">
        <v>21290000</v>
      </c>
      <c r="AQ6">
        <v>-2767700</v>
      </c>
      <c r="AR6">
        <v>-50000</v>
      </c>
      <c r="AS6">
        <v>18472300</v>
      </c>
      <c r="AT6">
        <v>19586800</v>
      </c>
      <c r="AU6">
        <v>-1114500</v>
      </c>
      <c r="AV6" t="s">
        <v>839</v>
      </c>
      <c r="AW6">
        <v>0</v>
      </c>
      <c r="AX6">
        <v>658602</v>
      </c>
      <c r="AY6">
        <v>658602</v>
      </c>
      <c r="AZ6">
        <v>0</v>
      </c>
      <c r="BA6" t="s">
        <v>441</v>
      </c>
      <c r="BB6">
        <v>0</v>
      </c>
      <c r="BC6">
        <v>0</v>
      </c>
      <c r="BD6">
        <v>0</v>
      </c>
      <c r="BE6">
        <v>0</v>
      </c>
      <c r="BF6" t="s">
        <v>441</v>
      </c>
      <c r="BG6">
        <v>0</v>
      </c>
      <c r="BH6">
        <v>0</v>
      </c>
      <c r="BI6">
        <v>0</v>
      </c>
      <c r="BJ6">
        <v>0</v>
      </c>
      <c r="BK6" t="s">
        <v>441</v>
      </c>
      <c r="BL6">
        <v>18522300</v>
      </c>
      <c r="BM6">
        <v>19130902</v>
      </c>
      <c r="BN6">
        <v>20245402</v>
      </c>
      <c r="BO6">
        <v>-1114500</v>
      </c>
      <c r="BP6" t="s">
        <v>840</v>
      </c>
      <c r="BQ6">
        <v>-1114500</v>
      </c>
      <c r="BR6" t="s">
        <v>840</v>
      </c>
      <c r="BS6">
        <v>0</v>
      </c>
      <c r="BT6">
        <v>0</v>
      </c>
      <c r="BU6">
        <v>22640639</v>
      </c>
      <c r="BV6">
        <v>0</v>
      </c>
      <c r="BW6">
        <v>658602</v>
      </c>
      <c r="BX6">
        <v>0</v>
      </c>
      <c r="BY6">
        <v>22640639</v>
      </c>
      <c r="BZ6">
        <v>19130902</v>
      </c>
      <c r="CA6" s="2">
        <v>-1114500</v>
      </c>
      <c r="CB6" t="s">
        <v>840</v>
      </c>
      <c r="CC6" t="s">
        <v>426</v>
      </c>
      <c r="CD6">
        <v>0</v>
      </c>
      <c r="CE6" t="s">
        <v>426</v>
      </c>
      <c r="CF6">
        <v>0</v>
      </c>
      <c r="CG6">
        <v>0</v>
      </c>
      <c r="CH6">
        <v>0</v>
      </c>
      <c r="CI6" t="s">
        <v>426</v>
      </c>
    </row>
    <row r="7" spans="1:87">
      <c r="A7" t="s">
        <v>32</v>
      </c>
      <c r="B7" t="s">
        <v>43</v>
      </c>
      <c r="C7" t="s">
        <v>841</v>
      </c>
      <c r="D7">
        <v>5912</v>
      </c>
      <c r="E7" t="s">
        <v>195</v>
      </c>
      <c r="F7">
        <v>77423111</v>
      </c>
      <c r="G7" t="s">
        <v>611</v>
      </c>
      <c r="H7" t="s">
        <v>842</v>
      </c>
      <c r="I7" t="s">
        <v>426</v>
      </c>
      <c r="J7" t="s">
        <v>843</v>
      </c>
      <c r="K7" t="s">
        <v>426</v>
      </c>
      <c r="L7" t="s">
        <v>844</v>
      </c>
      <c r="M7" t="s">
        <v>845</v>
      </c>
      <c r="N7" t="s">
        <v>846</v>
      </c>
      <c r="O7" t="s">
        <v>490</v>
      </c>
      <c r="P7" t="s">
        <v>36</v>
      </c>
      <c r="Q7" t="s">
        <v>787</v>
      </c>
      <c r="R7" t="s">
        <v>196</v>
      </c>
      <c r="S7" t="s">
        <v>847</v>
      </c>
      <c r="T7" t="s">
        <v>38</v>
      </c>
      <c r="U7" t="s">
        <v>197</v>
      </c>
      <c r="V7" t="s">
        <v>198</v>
      </c>
      <c r="W7" t="s">
        <v>198</v>
      </c>
      <c r="X7" t="s">
        <v>198</v>
      </c>
      <c r="Y7" t="s">
        <v>433</v>
      </c>
      <c r="Z7">
        <v>2024</v>
      </c>
      <c r="AA7" t="s">
        <v>584</v>
      </c>
      <c r="AB7">
        <v>19889</v>
      </c>
      <c r="AC7" t="s">
        <v>690</v>
      </c>
      <c r="AD7" t="s">
        <v>426</v>
      </c>
      <c r="AE7" t="s">
        <v>848</v>
      </c>
      <c r="AF7">
        <v>21298620</v>
      </c>
      <c r="AG7" t="s">
        <v>849</v>
      </c>
      <c r="AH7" t="s">
        <v>426</v>
      </c>
      <c r="AI7">
        <v>0</v>
      </c>
      <c r="AJ7" t="s">
        <v>533</v>
      </c>
      <c r="AK7" t="s">
        <v>849</v>
      </c>
      <c r="AL7" t="s">
        <v>481</v>
      </c>
      <c r="AM7" t="s">
        <v>439</v>
      </c>
      <c r="AN7" t="s">
        <v>850</v>
      </c>
      <c r="AO7">
        <v>6</v>
      </c>
      <c r="AP7">
        <v>26690000</v>
      </c>
      <c r="AQ7">
        <v>-4270400</v>
      </c>
      <c r="AR7">
        <v>0</v>
      </c>
      <c r="AS7">
        <v>22419600</v>
      </c>
      <c r="AT7">
        <v>21298620</v>
      </c>
      <c r="AU7">
        <v>1120980</v>
      </c>
      <c r="AV7" t="s">
        <v>851</v>
      </c>
      <c r="AW7">
        <v>0</v>
      </c>
      <c r="AX7">
        <v>721264</v>
      </c>
      <c r="AY7">
        <v>721264</v>
      </c>
      <c r="AZ7">
        <v>0</v>
      </c>
      <c r="BA7" t="s">
        <v>441</v>
      </c>
      <c r="BB7">
        <v>0</v>
      </c>
      <c r="BC7">
        <v>0</v>
      </c>
      <c r="BD7">
        <v>0</v>
      </c>
      <c r="BE7">
        <v>0</v>
      </c>
      <c r="BF7" t="s">
        <v>441</v>
      </c>
      <c r="BG7">
        <v>0</v>
      </c>
      <c r="BH7">
        <v>0</v>
      </c>
      <c r="BI7">
        <v>0</v>
      </c>
      <c r="BJ7">
        <v>0</v>
      </c>
      <c r="BK7" t="s">
        <v>441</v>
      </c>
      <c r="BL7">
        <v>22419600</v>
      </c>
      <c r="BM7">
        <v>23140864</v>
      </c>
      <c r="BN7">
        <v>22019884</v>
      </c>
      <c r="BO7">
        <v>1120980</v>
      </c>
      <c r="BP7" t="s">
        <v>852</v>
      </c>
      <c r="BQ7">
        <v>1120980</v>
      </c>
      <c r="BR7" t="s">
        <v>852</v>
      </c>
      <c r="BS7">
        <v>0</v>
      </c>
      <c r="BT7">
        <v>2000000</v>
      </c>
      <c r="BU7">
        <v>25400588</v>
      </c>
      <c r="BV7">
        <v>0</v>
      </c>
      <c r="BW7">
        <v>721264</v>
      </c>
      <c r="BX7">
        <v>0</v>
      </c>
      <c r="BY7">
        <v>27400588</v>
      </c>
      <c r="BZ7">
        <v>23140864</v>
      </c>
      <c r="CA7" s="2">
        <v>1120980</v>
      </c>
      <c r="CB7" t="s">
        <v>852</v>
      </c>
      <c r="CC7" t="s">
        <v>426</v>
      </c>
      <c r="CD7">
        <v>0</v>
      </c>
      <c r="CE7" t="s">
        <v>426</v>
      </c>
      <c r="CF7">
        <v>0</v>
      </c>
      <c r="CG7">
        <v>0</v>
      </c>
      <c r="CH7">
        <v>0</v>
      </c>
      <c r="CI7" t="s">
        <v>426</v>
      </c>
    </row>
    <row r="8" spans="1:87">
      <c r="A8" t="s">
        <v>32</v>
      </c>
      <c r="B8" t="s">
        <v>55</v>
      </c>
      <c r="C8" t="s">
        <v>853</v>
      </c>
      <c r="D8">
        <v>5915</v>
      </c>
      <c r="E8" t="s">
        <v>199</v>
      </c>
      <c r="F8">
        <v>16802706</v>
      </c>
      <c r="G8" t="s">
        <v>611</v>
      </c>
      <c r="H8" t="s">
        <v>854</v>
      </c>
      <c r="I8" t="s">
        <v>426</v>
      </c>
      <c r="J8" t="s">
        <v>855</v>
      </c>
      <c r="K8" t="s">
        <v>426</v>
      </c>
      <c r="L8" t="s">
        <v>506</v>
      </c>
      <c r="M8" t="s">
        <v>856</v>
      </c>
      <c r="N8" t="s">
        <v>857</v>
      </c>
      <c r="O8" t="s">
        <v>509</v>
      </c>
      <c r="P8" t="s">
        <v>46</v>
      </c>
      <c r="Q8" t="s">
        <v>858</v>
      </c>
      <c r="R8" t="s">
        <v>200</v>
      </c>
      <c r="S8" t="s">
        <v>859</v>
      </c>
      <c r="T8" t="s">
        <v>51</v>
      </c>
      <c r="U8" t="s">
        <v>201</v>
      </c>
      <c r="V8" t="s">
        <v>202</v>
      </c>
      <c r="W8" t="s">
        <v>202</v>
      </c>
      <c r="X8" t="s">
        <v>202</v>
      </c>
      <c r="Y8" t="s">
        <v>433</v>
      </c>
      <c r="Z8">
        <v>2025</v>
      </c>
      <c r="AA8" t="s">
        <v>584</v>
      </c>
      <c r="AB8">
        <v>19872</v>
      </c>
      <c r="AC8" t="s">
        <v>860</v>
      </c>
      <c r="AD8" t="s">
        <v>426</v>
      </c>
      <c r="AE8" t="s">
        <v>861</v>
      </c>
      <c r="AF8">
        <v>11588907</v>
      </c>
      <c r="AG8" t="s">
        <v>862</v>
      </c>
      <c r="AH8" t="s">
        <v>426</v>
      </c>
      <c r="AI8">
        <v>0</v>
      </c>
      <c r="AJ8" t="s">
        <v>565</v>
      </c>
      <c r="AK8" t="s">
        <v>862</v>
      </c>
      <c r="AL8" t="s">
        <v>438</v>
      </c>
      <c r="AM8" t="s">
        <v>439</v>
      </c>
      <c r="AN8" t="s">
        <v>426</v>
      </c>
      <c r="AO8">
        <v>0</v>
      </c>
      <c r="AP8">
        <v>12596639</v>
      </c>
      <c r="AQ8">
        <v>-1848739</v>
      </c>
      <c r="AR8">
        <v>-429916</v>
      </c>
      <c r="AS8">
        <v>10317983</v>
      </c>
      <c r="AT8">
        <v>11588907</v>
      </c>
      <c r="AU8">
        <v>-1270924</v>
      </c>
      <c r="AV8" t="s">
        <v>863</v>
      </c>
      <c r="AW8">
        <v>0</v>
      </c>
      <c r="AX8">
        <v>669467</v>
      </c>
      <c r="AY8">
        <v>669467</v>
      </c>
      <c r="AZ8">
        <v>0</v>
      </c>
      <c r="BA8" t="s">
        <v>441</v>
      </c>
      <c r="BB8">
        <v>0</v>
      </c>
      <c r="BC8">
        <v>0</v>
      </c>
      <c r="BD8">
        <v>0</v>
      </c>
      <c r="BE8">
        <v>0</v>
      </c>
      <c r="BF8" t="s">
        <v>441</v>
      </c>
      <c r="BG8">
        <v>0</v>
      </c>
      <c r="BH8">
        <v>0</v>
      </c>
      <c r="BI8">
        <v>0</v>
      </c>
      <c r="BJ8">
        <v>0</v>
      </c>
      <c r="BK8" t="s">
        <v>441</v>
      </c>
      <c r="BL8">
        <v>10747900</v>
      </c>
      <c r="BM8">
        <v>10987450</v>
      </c>
      <c r="BN8">
        <v>12258374</v>
      </c>
      <c r="BO8">
        <v>-1270924</v>
      </c>
      <c r="BP8" t="s">
        <v>864</v>
      </c>
      <c r="BQ8">
        <v>-1270924</v>
      </c>
      <c r="BR8" t="s">
        <v>864</v>
      </c>
      <c r="BS8">
        <v>0</v>
      </c>
      <c r="BT8">
        <v>0</v>
      </c>
      <c r="BU8">
        <v>12947867</v>
      </c>
      <c r="BV8">
        <v>0</v>
      </c>
      <c r="BW8">
        <v>669467</v>
      </c>
      <c r="BX8">
        <v>0</v>
      </c>
      <c r="BY8">
        <v>12947867</v>
      </c>
      <c r="BZ8">
        <v>10987450</v>
      </c>
      <c r="CA8" s="2">
        <v>-1270924</v>
      </c>
      <c r="CB8" t="s">
        <v>864</v>
      </c>
      <c r="CC8" t="s">
        <v>426</v>
      </c>
      <c r="CD8">
        <v>0</v>
      </c>
      <c r="CE8" t="s">
        <v>426</v>
      </c>
      <c r="CF8">
        <v>0</v>
      </c>
      <c r="CG8">
        <v>0</v>
      </c>
      <c r="CH8">
        <v>0</v>
      </c>
      <c r="CI8" t="s">
        <v>426</v>
      </c>
    </row>
    <row r="9" spans="1:87">
      <c r="A9" t="s">
        <v>32</v>
      </c>
      <c r="B9" t="s">
        <v>43</v>
      </c>
      <c r="C9" t="s">
        <v>865</v>
      </c>
      <c r="D9">
        <v>5929</v>
      </c>
      <c r="E9" t="s">
        <v>203</v>
      </c>
      <c r="F9">
        <v>7697564</v>
      </c>
      <c r="G9" t="s">
        <v>592</v>
      </c>
      <c r="H9" t="s">
        <v>866</v>
      </c>
      <c r="I9" t="s">
        <v>426</v>
      </c>
      <c r="J9" t="s">
        <v>867</v>
      </c>
      <c r="K9" t="s">
        <v>426</v>
      </c>
      <c r="L9" t="s">
        <v>614</v>
      </c>
      <c r="M9" t="s">
        <v>868</v>
      </c>
      <c r="N9" t="s">
        <v>869</v>
      </c>
      <c r="O9" t="s">
        <v>430</v>
      </c>
      <c r="P9" t="s">
        <v>34</v>
      </c>
      <c r="Q9" t="s">
        <v>805</v>
      </c>
      <c r="R9" t="s">
        <v>204</v>
      </c>
      <c r="S9" t="s">
        <v>870</v>
      </c>
      <c r="T9" t="s">
        <v>39</v>
      </c>
      <c r="U9" t="s">
        <v>205</v>
      </c>
      <c r="V9" t="s">
        <v>206</v>
      </c>
      <c r="W9" t="s">
        <v>206</v>
      </c>
      <c r="X9" t="s">
        <v>206</v>
      </c>
      <c r="Y9" t="s">
        <v>433</v>
      </c>
      <c r="Z9">
        <v>2024</v>
      </c>
      <c r="AA9" t="s">
        <v>434</v>
      </c>
      <c r="AB9">
        <v>19887</v>
      </c>
      <c r="AC9" t="s">
        <v>690</v>
      </c>
      <c r="AD9" t="s">
        <v>426</v>
      </c>
      <c r="AE9" t="s">
        <v>871</v>
      </c>
      <c r="AF9">
        <v>12362017</v>
      </c>
      <c r="AG9" t="s">
        <v>849</v>
      </c>
      <c r="AH9" t="s">
        <v>426</v>
      </c>
      <c r="AI9">
        <v>0</v>
      </c>
      <c r="AJ9" t="s">
        <v>543</v>
      </c>
      <c r="AK9" t="s">
        <v>849</v>
      </c>
      <c r="AL9" t="s">
        <v>566</v>
      </c>
      <c r="AM9" t="s">
        <v>439</v>
      </c>
      <c r="AN9" t="s">
        <v>426</v>
      </c>
      <c r="AO9">
        <v>202</v>
      </c>
      <c r="AP9">
        <v>13436975</v>
      </c>
      <c r="AQ9">
        <v>-2394958</v>
      </c>
      <c r="AR9">
        <v>-462185</v>
      </c>
      <c r="AS9">
        <v>10579832</v>
      </c>
      <c r="AT9">
        <v>12362017</v>
      </c>
      <c r="AU9">
        <v>-1782185</v>
      </c>
      <c r="AV9" t="s">
        <v>872</v>
      </c>
      <c r="AW9">
        <v>-622830</v>
      </c>
      <c r="AX9">
        <v>0</v>
      </c>
      <c r="AY9">
        <v>622830</v>
      </c>
      <c r="AZ9">
        <v>-622830</v>
      </c>
      <c r="BA9" t="s">
        <v>873</v>
      </c>
      <c r="BB9">
        <v>0</v>
      </c>
      <c r="BC9">
        <v>0</v>
      </c>
      <c r="BD9">
        <v>0</v>
      </c>
      <c r="BE9">
        <v>0</v>
      </c>
      <c r="BF9" t="s">
        <v>441</v>
      </c>
      <c r="BG9">
        <v>0</v>
      </c>
      <c r="BH9">
        <v>0</v>
      </c>
      <c r="BI9">
        <v>0</v>
      </c>
      <c r="BJ9">
        <v>0</v>
      </c>
      <c r="BK9" t="s">
        <v>441</v>
      </c>
      <c r="BL9">
        <v>11042017</v>
      </c>
      <c r="BM9">
        <v>10579832</v>
      </c>
      <c r="BN9">
        <v>12984847</v>
      </c>
      <c r="BO9">
        <v>-2405015</v>
      </c>
      <c r="BP9" t="s">
        <v>874</v>
      </c>
      <c r="BQ9">
        <v>-2405015</v>
      </c>
      <c r="BR9" t="s">
        <v>874</v>
      </c>
      <c r="BS9">
        <v>0</v>
      </c>
      <c r="BT9">
        <v>0</v>
      </c>
      <c r="BU9">
        <v>12672230</v>
      </c>
      <c r="BV9">
        <v>-82230</v>
      </c>
      <c r="BW9">
        <v>0</v>
      </c>
      <c r="BX9">
        <v>0</v>
      </c>
      <c r="BY9">
        <v>12590000</v>
      </c>
      <c r="BZ9">
        <v>10579832</v>
      </c>
      <c r="CA9" s="2">
        <v>-2405015</v>
      </c>
      <c r="CB9" t="s">
        <v>874</v>
      </c>
      <c r="CC9" t="s">
        <v>426</v>
      </c>
      <c r="CD9">
        <v>0</v>
      </c>
      <c r="CE9" t="s">
        <v>426</v>
      </c>
      <c r="CF9">
        <v>0</v>
      </c>
      <c r="CG9">
        <v>0</v>
      </c>
      <c r="CH9">
        <v>0</v>
      </c>
      <c r="CI9" t="s">
        <v>426</v>
      </c>
    </row>
    <row r="10" spans="1:87">
      <c r="A10" t="s">
        <v>32</v>
      </c>
      <c r="B10" t="s">
        <v>44</v>
      </c>
      <c r="C10" t="s">
        <v>875</v>
      </c>
      <c r="D10">
        <v>5943</v>
      </c>
      <c r="E10" t="s">
        <v>174</v>
      </c>
      <c r="F10">
        <v>7131041</v>
      </c>
      <c r="G10" t="s">
        <v>537</v>
      </c>
      <c r="H10" t="s">
        <v>876</v>
      </c>
      <c r="I10" t="s">
        <v>877</v>
      </c>
      <c r="J10" t="s">
        <v>878</v>
      </c>
      <c r="K10" t="s">
        <v>426</v>
      </c>
      <c r="L10" t="s">
        <v>488</v>
      </c>
      <c r="M10" t="s">
        <v>879</v>
      </c>
      <c r="N10" t="s">
        <v>880</v>
      </c>
      <c r="O10" t="s">
        <v>430</v>
      </c>
      <c r="P10" t="s">
        <v>36</v>
      </c>
      <c r="Q10" t="s">
        <v>881</v>
      </c>
      <c r="R10" t="s">
        <v>65</v>
      </c>
      <c r="S10" t="s">
        <v>882</v>
      </c>
      <c r="T10" t="s">
        <v>38</v>
      </c>
      <c r="U10" t="s">
        <v>175</v>
      </c>
      <c r="V10" t="s">
        <v>176</v>
      </c>
      <c r="W10" t="s">
        <v>176</v>
      </c>
      <c r="X10" t="s">
        <v>176</v>
      </c>
      <c r="Y10" t="s">
        <v>433</v>
      </c>
      <c r="Z10">
        <v>2025</v>
      </c>
      <c r="AA10" t="s">
        <v>584</v>
      </c>
      <c r="AB10">
        <v>19907</v>
      </c>
      <c r="AC10" t="s">
        <v>696</v>
      </c>
      <c r="AD10" t="s">
        <v>426</v>
      </c>
      <c r="AE10" t="s">
        <v>883</v>
      </c>
      <c r="AF10">
        <v>17773781</v>
      </c>
      <c r="AG10" t="s">
        <v>884</v>
      </c>
      <c r="AH10" t="s">
        <v>426</v>
      </c>
      <c r="AI10">
        <v>0</v>
      </c>
      <c r="AJ10" t="s">
        <v>437</v>
      </c>
      <c r="AK10" t="s">
        <v>884</v>
      </c>
      <c r="AL10" t="s">
        <v>481</v>
      </c>
      <c r="AM10" t="s">
        <v>439</v>
      </c>
      <c r="AN10" t="s">
        <v>885</v>
      </c>
      <c r="AO10">
        <v>115</v>
      </c>
      <c r="AP10">
        <v>19319328</v>
      </c>
      <c r="AQ10">
        <v>-1680672</v>
      </c>
      <c r="AR10">
        <v>-840336</v>
      </c>
      <c r="AS10">
        <v>16798319</v>
      </c>
      <c r="AT10">
        <v>17773781</v>
      </c>
      <c r="AU10">
        <v>-975462</v>
      </c>
      <c r="AV10" t="s">
        <v>886</v>
      </c>
      <c r="AW10">
        <v>0</v>
      </c>
      <c r="AX10">
        <v>1000000</v>
      </c>
      <c r="AY10">
        <v>1000000</v>
      </c>
      <c r="AZ10">
        <v>0</v>
      </c>
      <c r="BA10" t="s">
        <v>441</v>
      </c>
      <c r="BB10">
        <v>0</v>
      </c>
      <c r="BC10">
        <v>0</v>
      </c>
      <c r="BD10">
        <v>0</v>
      </c>
      <c r="BE10">
        <v>0</v>
      </c>
      <c r="BF10" t="s">
        <v>441</v>
      </c>
      <c r="BG10">
        <v>0</v>
      </c>
      <c r="BH10">
        <v>0</v>
      </c>
      <c r="BI10">
        <v>0</v>
      </c>
      <c r="BJ10">
        <v>0</v>
      </c>
      <c r="BK10" t="s">
        <v>441</v>
      </c>
      <c r="BL10">
        <v>17638656</v>
      </c>
      <c r="BM10">
        <v>17798319</v>
      </c>
      <c r="BN10">
        <v>18773781</v>
      </c>
      <c r="BO10">
        <v>-975462</v>
      </c>
      <c r="BP10" t="s">
        <v>887</v>
      </c>
      <c r="BQ10">
        <v>-975462</v>
      </c>
      <c r="BR10" t="s">
        <v>887</v>
      </c>
      <c r="BS10">
        <v>0</v>
      </c>
      <c r="BT10">
        <v>6300000</v>
      </c>
      <c r="BU10">
        <v>14690000</v>
      </c>
      <c r="BV10">
        <v>0</v>
      </c>
      <c r="BW10">
        <v>1000000</v>
      </c>
      <c r="BX10">
        <v>0</v>
      </c>
      <c r="BY10">
        <v>20990000</v>
      </c>
      <c r="BZ10">
        <v>17798319</v>
      </c>
      <c r="CA10" s="2">
        <v>-975462</v>
      </c>
      <c r="CB10" t="s">
        <v>887</v>
      </c>
      <c r="CC10" t="s">
        <v>426</v>
      </c>
      <c r="CD10">
        <v>0</v>
      </c>
      <c r="CE10" t="s">
        <v>426</v>
      </c>
      <c r="CF10">
        <v>0</v>
      </c>
      <c r="CG10">
        <v>0</v>
      </c>
      <c r="CH10">
        <v>0</v>
      </c>
      <c r="CI10" t="s">
        <v>426</v>
      </c>
    </row>
    <row r="11" spans="1:87">
      <c r="A11" t="s">
        <v>32</v>
      </c>
      <c r="B11" t="s">
        <v>55</v>
      </c>
      <c r="C11" t="s">
        <v>888</v>
      </c>
      <c r="D11">
        <v>5945</v>
      </c>
      <c r="E11" t="s">
        <v>177</v>
      </c>
      <c r="F11">
        <v>17958247</v>
      </c>
      <c r="G11" t="s">
        <v>423</v>
      </c>
      <c r="H11" t="s">
        <v>889</v>
      </c>
      <c r="I11" t="s">
        <v>890</v>
      </c>
      <c r="J11" t="s">
        <v>891</v>
      </c>
      <c r="K11" t="s">
        <v>426</v>
      </c>
      <c r="L11" t="s">
        <v>892</v>
      </c>
      <c r="M11" t="s">
        <v>893</v>
      </c>
      <c r="N11" t="s">
        <v>894</v>
      </c>
      <c r="O11" t="s">
        <v>430</v>
      </c>
      <c r="P11" t="s">
        <v>34</v>
      </c>
      <c r="Q11" t="s">
        <v>895</v>
      </c>
      <c r="R11" t="s">
        <v>49</v>
      </c>
      <c r="S11" t="s">
        <v>896</v>
      </c>
      <c r="T11" t="s">
        <v>178</v>
      </c>
      <c r="U11" t="s">
        <v>179</v>
      </c>
      <c r="V11" t="s">
        <v>180</v>
      </c>
      <c r="W11" t="s">
        <v>180</v>
      </c>
      <c r="X11" t="s">
        <v>180</v>
      </c>
      <c r="Y11" t="s">
        <v>433</v>
      </c>
      <c r="Z11">
        <v>2025</v>
      </c>
      <c r="AA11" t="s">
        <v>584</v>
      </c>
      <c r="AB11">
        <v>19957</v>
      </c>
      <c r="AC11" t="s">
        <v>633</v>
      </c>
      <c r="AD11" t="s">
        <v>426</v>
      </c>
      <c r="AE11" t="s">
        <v>897</v>
      </c>
      <c r="AF11">
        <v>23185546</v>
      </c>
      <c r="AG11" t="s">
        <v>898</v>
      </c>
      <c r="AH11" t="s">
        <v>426</v>
      </c>
      <c r="AI11">
        <v>0</v>
      </c>
      <c r="AJ11" t="s">
        <v>565</v>
      </c>
      <c r="AK11" t="s">
        <v>898</v>
      </c>
      <c r="AL11" t="s">
        <v>438</v>
      </c>
      <c r="AM11" t="s">
        <v>439</v>
      </c>
      <c r="AN11" t="s">
        <v>899</v>
      </c>
      <c r="AO11">
        <v>158</v>
      </c>
      <c r="AP11">
        <v>25201681</v>
      </c>
      <c r="AQ11">
        <v>-1176471</v>
      </c>
      <c r="AR11">
        <v>-961008</v>
      </c>
      <c r="AS11">
        <v>23064202</v>
      </c>
      <c r="AT11">
        <v>23185546</v>
      </c>
      <c r="AU11">
        <v>-121344</v>
      </c>
      <c r="AV11" t="s">
        <v>900</v>
      </c>
      <c r="AW11">
        <v>0</v>
      </c>
      <c r="AX11">
        <v>1572888</v>
      </c>
      <c r="AY11">
        <v>1572888</v>
      </c>
      <c r="AZ11">
        <v>0</v>
      </c>
      <c r="BA11" t="s">
        <v>441</v>
      </c>
      <c r="BB11">
        <v>0</v>
      </c>
      <c r="BC11">
        <v>0</v>
      </c>
      <c r="BD11">
        <v>0</v>
      </c>
      <c r="BE11">
        <v>0</v>
      </c>
      <c r="BF11" t="s">
        <v>441</v>
      </c>
      <c r="BG11">
        <v>0</v>
      </c>
      <c r="BH11">
        <v>0</v>
      </c>
      <c r="BI11">
        <v>0</v>
      </c>
      <c r="BJ11">
        <v>0</v>
      </c>
      <c r="BK11" t="s">
        <v>441</v>
      </c>
      <c r="BL11">
        <v>24025210</v>
      </c>
      <c r="BM11">
        <v>24637090</v>
      </c>
      <c r="BN11">
        <v>24758434</v>
      </c>
      <c r="BO11">
        <v>-121344</v>
      </c>
      <c r="BP11" t="s">
        <v>901</v>
      </c>
      <c r="BQ11">
        <v>-121344</v>
      </c>
      <c r="BR11" t="s">
        <v>901</v>
      </c>
      <c r="BS11">
        <v>0</v>
      </c>
      <c r="BT11">
        <v>6700000</v>
      </c>
      <c r="BU11">
        <v>24798063</v>
      </c>
      <c r="BV11">
        <v>-2478775</v>
      </c>
      <c r="BW11">
        <v>1572888</v>
      </c>
      <c r="BX11">
        <v>0</v>
      </c>
      <c r="BY11">
        <v>29019288</v>
      </c>
      <c r="BZ11">
        <v>24637090</v>
      </c>
      <c r="CA11" s="2">
        <v>-121344</v>
      </c>
      <c r="CB11" t="s">
        <v>901</v>
      </c>
      <c r="CC11" t="s">
        <v>426</v>
      </c>
      <c r="CD11">
        <v>0</v>
      </c>
      <c r="CE11" t="s">
        <v>426</v>
      </c>
      <c r="CF11">
        <v>0</v>
      </c>
      <c r="CG11">
        <v>0</v>
      </c>
      <c r="CH11">
        <v>0</v>
      </c>
      <c r="CI11" t="s">
        <v>426</v>
      </c>
    </row>
    <row r="12" spans="1:87">
      <c r="A12" t="s">
        <v>32</v>
      </c>
      <c r="B12" t="s">
        <v>33</v>
      </c>
      <c r="C12" t="s">
        <v>902</v>
      </c>
      <c r="D12">
        <v>5952</v>
      </c>
      <c r="E12" t="s">
        <v>207</v>
      </c>
      <c r="F12">
        <v>76321115</v>
      </c>
      <c r="G12" t="s">
        <v>611</v>
      </c>
      <c r="H12" t="s">
        <v>903</v>
      </c>
      <c r="I12" t="s">
        <v>426</v>
      </c>
      <c r="J12" t="s">
        <v>904</v>
      </c>
      <c r="K12" t="s">
        <v>426</v>
      </c>
      <c r="L12" t="s">
        <v>905</v>
      </c>
      <c r="M12" t="s">
        <v>906</v>
      </c>
      <c r="N12" t="s">
        <v>907</v>
      </c>
      <c r="O12" t="s">
        <v>490</v>
      </c>
      <c r="P12" t="s">
        <v>36</v>
      </c>
      <c r="Q12" t="s">
        <v>787</v>
      </c>
      <c r="R12" t="s">
        <v>52</v>
      </c>
      <c r="S12" t="s">
        <v>52</v>
      </c>
      <c r="T12" t="s">
        <v>51</v>
      </c>
      <c r="U12" t="s">
        <v>208</v>
      </c>
      <c r="V12" t="s">
        <v>209</v>
      </c>
      <c r="W12" t="s">
        <v>209</v>
      </c>
      <c r="X12" t="s">
        <v>209</v>
      </c>
      <c r="Y12" t="s">
        <v>433</v>
      </c>
      <c r="Z12">
        <v>2025</v>
      </c>
      <c r="AA12" t="s">
        <v>584</v>
      </c>
      <c r="AB12">
        <v>19913</v>
      </c>
      <c r="AC12" t="s">
        <v>585</v>
      </c>
      <c r="AD12" t="s">
        <v>426</v>
      </c>
      <c r="AE12" t="s">
        <v>908</v>
      </c>
      <c r="AF12">
        <v>24554800</v>
      </c>
      <c r="AG12" t="s">
        <v>585</v>
      </c>
      <c r="AH12" t="s">
        <v>426</v>
      </c>
      <c r="AI12">
        <v>0</v>
      </c>
      <c r="AJ12" t="s">
        <v>543</v>
      </c>
      <c r="AK12" t="s">
        <v>585</v>
      </c>
      <c r="AL12" t="s">
        <v>438</v>
      </c>
      <c r="AM12" t="s">
        <v>439</v>
      </c>
      <c r="AN12" t="s">
        <v>426</v>
      </c>
      <c r="AO12">
        <v>0</v>
      </c>
      <c r="AP12">
        <v>26690000</v>
      </c>
      <c r="AQ12">
        <v>-1500000</v>
      </c>
      <c r="AR12">
        <v>-500000</v>
      </c>
      <c r="AS12">
        <v>24690000</v>
      </c>
      <c r="AT12">
        <v>24554800</v>
      </c>
      <c r="AU12">
        <v>135200</v>
      </c>
      <c r="AV12" t="s">
        <v>909</v>
      </c>
      <c r="AW12">
        <v>0</v>
      </c>
      <c r="AX12">
        <v>929310</v>
      </c>
      <c r="AY12">
        <v>929310</v>
      </c>
      <c r="AZ12">
        <v>0</v>
      </c>
      <c r="BA12" t="s">
        <v>441</v>
      </c>
      <c r="BB12">
        <v>0</v>
      </c>
      <c r="BC12">
        <v>0</v>
      </c>
      <c r="BD12">
        <v>0</v>
      </c>
      <c r="BE12">
        <v>0</v>
      </c>
      <c r="BF12" t="s">
        <v>441</v>
      </c>
      <c r="BG12">
        <v>0</v>
      </c>
      <c r="BH12">
        <v>0</v>
      </c>
      <c r="BI12">
        <v>0</v>
      </c>
      <c r="BJ12">
        <v>0</v>
      </c>
      <c r="BK12" t="s">
        <v>441</v>
      </c>
      <c r="BL12">
        <v>25190000</v>
      </c>
      <c r="BM12">
        <v>25619310</v>
      </c>
      <c r="BN12">
        <v>25484110</v>
      </c>
      <c r="BO12">
        <v>135200</v>
      </c>
      <c r="BP12" t="s">
        <v>910</v>
      </c>
      <c r="BQ12">
        <v>135200</v>
      </c>
      <c r="BR12" t="s">
        <v>910</v>
      </c>
      <c r="BS12">
        <v>0</v>
      </c>
      <c r="BT12">
        <v>0</v>
      </c>
      <c r="BU12">
        <v>30310410</v>
      </c>
      <c r="BV12">
        <v>0</v>
      </c>
      <c r="BW12">
        <v>929310</v>
      </c>
      <c r="BX12">
        <v>0</v>
      </c>
      <c r="BY12">
        <v>30310410</v>
      </c>
      <c r="BZ12">
        <v>25619310</v>
      </c>
      <c r="CA12" s="2">
        <v>135200</v>
      </c>
      <c r="CB12" t="s">
        <v>910</v>
      </c>
      <c r="CC12" t="s">
        <v>426</v>
      </c>
      <c r="CD12">
        <v>0</v>
      </c>
      <c r="CE12" t="s">
        <v>426</v>
      </c>
      <c r="CF12">
        <v>0</v>
      </c>
      <c r="CG12">
        <v>0</v>
      </c>
      <c r="CH12">
        <v>0</v>
      </c>
      <c r="CI12" t="s">
        <v>426</v>
      </c>
    </row>
    <row r="13" spans="1:87">
      <c r="A13" t="s">
        <v>32</v>
      </c>
      <c r="B13" t="s">
        <v>55</v>
      </c>
      <c r="C13" t="s">
        <v>911</v>
      </c>
      <c r="D13">
        <v>5956</v>
      </c>
      <c r="E13" t="s">
        <v>210</v>
      </c>
      <c r="F13">
        <v>78060017</v>
      </c>
      <c r="G13" t="s">
        <v>760</v>
      </c>
      <c r="H13" t="s">
        <v>912</v>
      </c>
      <c r="I13" t="s">
        <v>426</v>
      </c>
      <c r="J13" t="s">
        <v>913</v>
      </c>
      <c r="K13" t="s">
        <v>426</v>
      </c>
      <c r="L13" t="s">
        <v>905</v>
      </c>
      <c r="M13" t="s">
        <v>426</v>
      </c>
      <c r="N13" t="s">
        <v>914</v>
      </c>
      <c r="O13" t="s">
        <v>490</v>
      </c>
      <c r="P13" t="s">
        <v>211</v>
      </c>
      <c r="Q13" t="s">
        <v>915</v>
      </c>
      <c r="R13" t="s">
        <v>212</v>
      </c>
      <c r="S13" t="s">
        <v>916</v>
      </c>
      <c r="T13" t="s">
        <v>39</v>
      </c>
      <c r="U13" t="s">
        <v>213</v>
      </c>
      <c r="V13" t="s">
        <v>214</v>
      </c>
      <c r="W13" t="s">
        <v>214</v>
      </c>
      <c r="X13" t="s">
        <v>214</v>
      </c>
      <c r="Y13" t="s">
        <v>433</v>
      </c>
      <c r="Z13">
        <v>2023</v>
      </c>
      <c r="AA13" t="s">
        <v>584</v>
      </c>
      <c r="AB13">
        <v>19950</v>
      </c>
      <c r="AC13" t="s">
        <v>633</v>
      </c>
      <c r="AD13" t="s">
        <v>426</v>
      </c>
      <c r="AE13" t="s">
        <v>917</v>
      </c>
      <c r="AF13">
        <v>9380600</v>
      </c>
      <c r="AG13" t="s">
        <v>633</v>
      </c>
      <c r="AH13" t="s">
        <v>426</v>
      </c>
      <c r="AI13">
        <v>0</v>
      </c>
      <c r="AJ13" t="s">
        <v>565</v>
      </c>
      <c r="AK13" t="s">
        <v>633</v>
      </c>
      <c r="AL13" t="s">
        <v>499</v>
      </c>
      <c r="AM13" t="s">
        <v>439</v>
      </c>
      <c r="AN13" t="s">
        <v>426</v>
      </c>
      <c r="AO13">
        <v>-6</v>
      </c>
      <c r="AP13">
        <v>10540000</v>
      </c>
      <c r="AQ13">
        <v>-2250000</v>
      </c>
      <c r="AR13">
        <v>-735378</v>
      </c>
      <c r="AS13">
        <v>7554622</v>
      </c>
      <c r="AT13">
        <v>9380600</v>
      </c>
      <c r="AU13">
        <v>-1825978</v>
      </c>
      <c r="AV13" t="s">
        <v>918</v>
      </c>
      <c r="AW13">
        <v>0</v>
      </c>
      <c r="AX13">
        <v>336980</v>
      </c>
      <c r="AY13">
        <v>336980</v>
      </c>
      <c r="AZ13">
        <v>0</v>
      </c>
      <c r="BA13" t="s">
        <v>441</v>
      </c>
      <c r="BB13">
        <v>0</v>
      </c>
      <c r="BC13">
        <v>0</v>
      </c>
      <c r="BD13">
        <v>0</v>
      </c>
      <c r="BE13">
        <v>0</v>
      </c>
      <c r="BF13" t="s">
        <v>441</v>
      </c>
      <c r="BG13">
        <v>0</v>
      </c>
      <c r="BH13">
        <v>0</v>
      </c>
      <c r="BI13">
        <v>0</v>
      </c>
      <c r="BJ13">
        <v>0</v>
      </c>
      <c r="BK13" t="s">
        <v>441</v>
      </c>
      <c r="BL13">
        <v>8290000</v>
      </c>
      <c r="BM13">
        <v>7891602</v>
      </c>
      <c r="BN13">
        <v>9717580</v>
      </c>
      <c r="BO13">
        <v>-1825978</v>
      </c>
      <c r="BP13" t="s">
        <v>919</v>
      </c>
      <c r="BQ13">
        <v>-1825978</v>
      </c>
      <c r="BR13" t="s">
        <v>919</v>
      </c>
      <c r="BS13">
        <v>0</v>
      </c>
      <c r="BT13">
        <v>0</v>
      </c>
      <c r="BU13">
        <v>9326980</v>
      </c>
      <c r="BV13">
        <v>0</v>
      </c>
      <c r="BW13">
        <v>336980</v>
      </c>
      <c r="BX13">
        <v>0</v>
      </c>
      <c r="BY13">
        <v>9326980</v>
      </c>
      <c r="BZ13">
        <v>7891602</v>
      </c>
      <c r="CA13" s="2">
        <v>-1825978</v>
      </c>
      <c r="CB13" t="s">
        <v>919</v>
      </c>
      <c r="CC13" t="s">
        <v>426</v>
      </c>
      <c r="CD13">
        <v>0</v>
      </c>
      <c r="CE13" t="s">
        <v>426</v>
      </c>
      <c r="CF13">
        <v>0</v>
      </c>
      <c r="CG13">
        <v>0</v>
      </c>
      <c r="CH13">
        <v>0</v>
      </c>
      <c r="CI13" t="s">
        <v>426</v>
      </c>
    </row>
    <row r="14" spans="1:87">
      <c r="A14" t="s">
        <v>32</v>
      </c>
      <c r="B14" t="s">
        <v>55</v>
      </c>
      <c r="C14" t="s">
        <v>920</v>
      </c>
      <c r="D14">
        <v>5970</v>
      </c>
      <c r="E14" t="s">
        <v>215</v>
      </c>
      <c r="F14">
        <v>15959880</v>
      </c>
      <c r="G14" t="s">
        <v>921</v>
      </c>
      <c r="H14" t="s">
        <v>922</v>
      </c>
      <c r="I14" t="s">
        <v>923</v>
      </c>
      <c r="J14" t="s">
        <v>924</v>
      </c>
      <c r="K14" t="s">
        <v>426</v>
      </c>
      <c r="L14" t="s">
        <v>488</v>
      </c>
      <c r="M14" t="s">
        <v>925</v>
      </c>
      <c r="N14" t="s">
        <v>926</v>
      </c>
      <c r="O14" t="s">
        <v>430</v>
      </c>
      <c r="P14" t="s">
        <v>34</v>
      </c>
      <c r="Q14" t="s">
        <v>895</v>
      </c>
      <c r="R14" t="s">
        <v>49</v>
      </c>
      <c r="S14" t="s">
        <v>896</v>
      </c>
      <c r="T14" t="s">
        <v>178</v>
      </c>
      <c r="U14" t="s">
        <v>216</v>
      </c>
      <c r="V14" t="s">
        <v>217</v>
      </c>
      <c r="W14" t="s">
        <v>217</v>
      </c>
      <c r="X14" t="s">
        <v>217</v>
      </c>
      <c r="Y14" t="s">
        <v>433</v>
      </c>
      <c r="Z14">
        <v>2025</v>
      </c>
      <c r="AA14" t="s">
        <v>584</v>
      </c>
      <c r="AB14">
        <v>19958</v>
      </c>
      <c r="AC14" t="s">
        <v>633</v>
      </c>
      <c r="AD14" t="s">
        <v>426</v>
      </c>
      <c r="AE14" t="s">
        <v>927</v>
      </c>
      <c r="AF14">
        <v>23185546</v>
      </c>
      <c r="AG14" t="s">
        <v>898</v>
      </c>
      <c r="AH14" t="s">
        <v>426</v>
      </c>
      <c r="AI14">
        <v>0</v>
      </c>
      <c r="AJ14" t="s">
        <v>565</v>
      </c>
      <c r="AK14" t="s">
        <v>898</v>
      </c>
      <c r="AL14" t="s">
        <v>438</v>
      </c>
      <c r="AM14" t="s">
        <v>439</v>
      </c>
      <c r="AN14" t="s">
        <v>928</v>
      </c>
      <c r="AO14">
        <v>9</v>
      </c>
      <c r="AP14">
        <v>25201681</v>
      </c>
      <c r="AQ14">
        <v>-2016807</v>
      </c>
      <c r="AR14">
        <v>-927395</v>
      </c>
      <c r="AS14">
        <v>22257479</v>
      </c>
      <c r="AT14">
        <v>23185546</v>
      </c>
      <c r="AU14">
        <v>-928067</v>
      </c>
      <c r="AV14" t="s">
        <v>929</v>
      </c>
      <c r="AW14">
        <v>0</v>
      </c>
      <c r="AX14">
        <v>1460222</v>
      </c>
      <c r="AY14">
        <v>1460222</v>
      </c>
      <c r="AZ14">
        <v>0</v>
      </c>
      <c r="BA14" t="s">
        <v>441</v>
      </c>
      <c r="BB14">
        <v>0</v>
      </c>
      <c r="BC14">
        <v>0</v>
      </c>
      <c r="BD14">
        <v>0</v>
      </c>
      <c r="BE14">
        <v>0</v>
      </c>
      <c r="BF14" t="s">
        <v>441</v>
      </c>
      <c r="BG14">
        <v>0</v>
      </c>
      <c r="BH14">
        <v>0</v>
      </c>
      <c r="BI14">
        <v>0</v>
      </c>
      <c r="BJ14">
        <v>0</v>
      </c>
      <c r="BK14" t="s">
        <v>441</v>
      </c>
      <c r="BL14">
        <v>23184874</v>
      </c>
      <c r="BM14">
        <v>23717701</v>
      </c>
      <c r="BN14">
        <v>24645768</v>
      </c>
      <c r="BO14">
        <v>-928067</v>
      </c>
      <c r="BP14" t="s">
        <v>674</v>
      </c>
      <c r="BQ14">
        <v>-928067</v>
      </c>
      <c r="BR14" t="s">
        <v>674</v>
      </c>
      <c r="BS14">
        <v>0</v>
      </c>
      <c r="BT14">
        <v>22500000</v>
      </c>
      <c r="BU14">
        <v>13268630</v>
      </c>
      <c r="BV14">
        <v>-7822008</v>
      </c>
      <c r="BW14">
        <v>1460222</v>
      </c>
      <c r="BX14">
        <v>0</v>
      </c>
      <c r="BY14">
        <v>27946622</v>
      </c>
      <c r="BZ14">
        <v>23717701</v>
      </c>
      <c r="CA14" s="2">
        <v>-928067</v>
      </c>
      <c r="CB14" t="s">
        <v>674</v>
      </c>
      <c r="CC14" t="s">
        <v>426</v>
      </c>
      <c r="CD14">
        <v>0</v>
      </c>
      <c r="CE14" t="s">
        <v>426</v>
      </c>
      <c r="CF14">
        <v>0</v>
      </c>
      <c r="CG14">
        <v>0</v>
      </c>
      <c r="CH14">
        <v>0</v>
      </c>
      <c r="CI14" t="s">
        <v>426</v>
      </c>
    </row>
    <row r="15" spans="1:87">
      <c r="A15" t="s">
        <v>426</v>
      </c>
      <c r="B15" t="s">
        <v>426</v>
      </c>
      <c r="C15" t="s">
        <v>426</v>
      </c>
      <c r="D15" t="s">
        <v>426</v>
      </c>
      <c r="E15" t="s">
        <v>426</v>
      </c>
      <c r="F15" t="s">
        <v>426</v>
      </c>
      <c r="G15" t="s">
        <v>426</v>
      </c>
      <c r="H15" t="s">
        <v>426</v>
      </c>
      <c r="I15" t="s">
        <v>426</v>
      </c>
      <c r="J15" t="s">
        <v>426</v>
      </c>
      <c r="K15" t="s">
        <v>426</v>
      </c>
      <c r="L15" t="s">
        <v>426</v>
      </c>
      <c r="M15" t="s">
        <v>426</v>
      </c>
      <c r="N15" t="s">
        <v>426</v>
      </c>
      <c r="O15" t="s">
        <v>426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 t="s">
        <v>426</v>
      </c>
      <c r="Z15" t="s">
        <v>426</v>
      </c>
      <c r="AA15" t="s">
        <v>426</v>
      </c>
      <c r="AB15" t="s">
        <v>426</v>
      </c>
      <c r="AC15" t="s">
        <v>426</v>
      </c>
      <c r="AD15" t="s">
        <v>426</v>
      </c>
      <c r="AE15" t="s">
        <v>426</v>
      </c>
      <c r="AF15" t="s">
        <v>426</v>
      </c>
      <c r="AG15" t="s">
        <v>426</v>
      </c>
      <c r="AH15" t="s">
        <v>426</v>
      </c>
      <c r="AI15" t="s">
        <v>426</v>
      </c>
      <c r="AJ15" t="s">
        <v>426</v>
      </c>
      <c r="AK15" t="s">
        <v>426</v>
      </c>
      <c r="AL15" t="s">
        <v>426</v>
      </c>
      <c r="AM15" t="s">
        <v>426</v>
      </c>
      <c r="AN15" t="s">
        <v>426</v>
      </c>
      <c r="AO15" t="s">
        <v>426</v>
      </c>
      <c r="AP15" t="s">
        <v>426</v>
      </c>
      <c r="AQ15" t="s">
        <v>426</v>
      </c>
      <c r="AR15" t="s">
        <v>426</v>
      </c>
      <c r="AS15" t="s">
        <v>426</v>
      </c>
      <c r="AT15" t="s">
        <v>426</v>
      </c>
      <c r="AU15" t="s">
        <v>426</v>
      </c>
      <c r="AV15" t="s">
        <v>426</v>
      </c>
      <c r="AW15" t="s">
        <v>426</v>
      </c>
      <c r="AX15" t="s">
        <v>426</v>
      </c>
      <c r="AY15" t="s">
        <v>426</v>
      </c>
      <c r="AZ15" t="s">
        <v>426</v>
      </c>
      <c r="BA15" t="s">
        <v>426</v>
      </c>
      <c r="BB15" t="s">
        <v>426</v>
      </c>
      <c r="BC15" t="s">
        <v>426</v>
      </c>
      <c r="BD15" t="s">
        <v>426</v>
      </c>
      <c r="BE15" t="s">
        <v>426</v>
      </c>
      <c r="BF15" t="s">
        <v>426</v>
      </c>
      <c r="BG15" t="s">
        <v>426</v>
      </c>
      <c r="BH15" t="s">
        <v>426</v>
      </c>
      <c r="BI15" t="s">
        <v>426</v>
      </c>
      <c r="BJ15" t="s">
        <v>426</v>
      </c>
      <c r="BK15" t="s">
        <v>426</v>
      </c>
      <c r="BL15" t="s">
        <v>426</v>
      </c>
      <c r="BM15" t="s">
        <v>426</v>
      </c>
      <c r="BN15" t="s">
        <v>426</v>
      </c>
      <c r="BO15" t="s">
        <v>426</v>
      </c>
      <c r="BP15" t="s">
        <v>426</v>
      </c>
      <c r="BQ15" t="s">
        <v>426</v>
      </c>
      <c r="BR15" t="s">
        <v>426</v>
      </c>
      <c r="BS15" t="s">
        <v>426</v>
      </c>
      <c r="BT15" t="s">
        <v>426</v>
      </c>
      <c r="BU15" t="s">
        <v>426</v>
      </c>
      <c r="BV15" t="s">
        <v>426</v>
      </c>
      <c r="BW15" t="s">
        <v>426</v>
      </c>
      <c r="BX15" t="s">
        <v>426</v>
      </c>
      <c r="BY15" t="s">
        <v>426</v>
      </c>
      <c r="BZ15" t="s">
        <v>426</v>
      </c>
      <c r="CA15" t="s">
        <v>426</v>
      </c>
      <c r="CB15" t="s">
        <v>426</v>
      </c>
      <c r="CC15" t="s">
        <v>426</v>
      </c>
      <c r="CD15" t="s">
        <v>426</v>
      </c>
      <c r="CE15" t="s">
        <v>426</v>
      </c>
      <c r="CF15" t="s">
        <v>426</v>
      </c>
      <c r="CG15" t="s">
        <v>426</v>
      </c>
      <c r="CH15" t="s">
        <v>426</v>
      </c>
      <c r="CI15" t="s">
        <v>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6A32-36E8-4041-962A-4AC7083CDCE6}">
  <dimension ref="A1:CL36"/>
  <sheetViews>
    <sheetView topLeftCell="B16" zoomScaleNormal="100" workbookViewId="0">
      <selection activeCell="G31" sqref="G31"/>
    </sheetView>
  </sheetViews>
  <sheetFormatPr baseColWidth="10" defaultColWidth="11.5703125" defaultRowHeight="15"/>
  <cols>
    <col min="1" max="1" width="13.5703125" bestFit="1" customWidth="1"/>
    <col min="2" max="2" width="44.42578125" bestFit="1" customWidth="1"/>
    <col min="3" max="3" width="16.42578125" bestFit="1" customWidth="1"/>
    <col min="4" max="4" width="6.85546875" bestFit="1" customWidth="1"/>
    <col min="5" max="5" width="21.85546875" bestFit="1" customWidth="1"/>
    <col min="6" max="6" width="46.140625" customWidth="1"/>
    <col min="7" max="7" width="18.5703125" style="18" bestFit="1" customWidth="1"/>
    <col min="8" max="8" width="7.7109375" customWidth="1"/>
    <col min="9" max="9" width="10.5703125" bestFit="1" customWidth="1"/>
    <col min="10" max="10" width="29.42578125" bestFit="1" customWidth="1"/>
    <col min="11" max="11" width="18.140625" bestFit="1" customWidth="1"/>
    <col min="12" max="12" width="13.42578125" bestFit="1" customWidth="1"/>
    <col min="13" max="13" width="9" bestFit="1" customWidth="1"/>
    <col min="14" max="14" width="8.5703125" bestFit="1" customWidth="1"/>
    <col min="15" max="15" width="70" bestFit="1" customWidth="1"/>
    <col min="16" max="16" width="15" bestFit="1" customWidth="1"/>
    <col min="17" max="17" width="16.7109375" bestFit="1" customWidth="1"/>
    <col min="18" max="18" width="20.7109375" bestFit="1" customWidth="1"/>
    <col min="19" max="19" width="18.28515625" bestFit="1" customWidth="1"/>
    <col min="20" max="20" width="19.28515625" bestFit="1" customWidth="1"/>
    <col min="21" max="21" width="36.7109375" bestFit="1" customWidth="1"/>
    <col min="22" max="22" width="15.28515625" bestFit="1" customWidth="1"/>
    <col min="23" max="23" width="19" bestFit="1" customWidth="1"/>
    <col min="24" max="24" width="11.85546875" bestFit="1" customWidth="1"/>
    <col min="25" max="25" width="16.7109375" bestFit="1" customWidth="1"/>
    <col min="26" max="26" width="18" bestFit="1" customWidth="1"/>
    <col min="27" max="28" width="21.85546875" bestFit="1" customWidth="1"/>
    <col min="29" max="29" width="30" bestFit="1" customWidth="1"/>
    <col min="30" max="30" width="15.85546875" bestFit="1" customWidth="1"/>
    <col min="31" max="31" width="18.42578125" bestFit="1" customWidth="1"/>
    <col min="32" max="32" width="19.140625" bestFit="1" customWidth="1"/>
    <col min="33" max="33" width="17.85546875" bestFit="1" customWidth="1"/>
    <col min="34" max="34" width="13.5703125" bestFit="1" customWidth="1"/>
    <col min="35" max="35" width="16.140625" bestFit="1" customWidth="1"/>
    <col min="36" max="36" width="21.7109375" bestFit="1" customWidth="1"/>
    <col min="37" max="37" width="21.85546875" bestFit="1" customWidth="1"/>
    <col min="38" max="38" width="7.7109375" bestFit="1" customWidth="1"/>
    <col min="39" max="39" width="20.5703125" bestFit="1" customWidth="1"/>
    <col min="40" max="40" width="25.7109375" bestFit="1" customWidth="1"/>
    <col min="41" max="41" width="12.85546875" bestFit="1" customWidth="1"/>
    <col min="42" max="42" width="16.28515625" bestFit="1" customWidth="1"/>
    <col min="43" max="43" width="15" bestFit="1" customWidth="1"/>
    <col min="44" max="44" width="12" bestFit="1" customWidth="1"/>
    <col min="45" max="45" width="13.28515625" bestFit="1" customWidth="1"/>
    <col min="46" max="46" width="18.42578125" bestFit="1" customWidth="1"/>
    <col min="47" max="47" width="19.5703125" bestFit="1" customWidth="1"/>
    <col min="48" max="48" width="15.28515625" bestFit="1" customWidth="1"/>
    <col min="49" max="49" width="15" bestFit="1" customWidth="1"/>
    <col min="50" max="50" width="16.7109375" bestFit="1" customWidth="1"/>
    <col min="51" max="51" width="7.5703125" bestFit="1" customWidth="1"/>
    <col min="52" max="52" width="29.140625" bestFit="1" customWidth="1"/>
    <col min="53" max="53" width="16.7109375" bestFit="1" customWidth="1"/>
    <col min="54" max="54" width="16.42578125" bestFit="1" customWidth="1"/>
    <col min="55" max="55" width="18.140625" bestFit="1" customWidth="1"/>
    <col min="56" max="56" width="5.85546875" bestFit="1" customWidth="1"/>
    <col min="57" max="57" width="30.85546875" bestFit="1" customWidth="1"/>
    <col min="58" max="58" width="18.5703125" bestFit="1" customWidth="1"/>
    <col min="59" max="59" width="18.140625" bestFit="1" customWidth="1"/>
    <col min="60" max="60" width="20" bestFit="1" customWidth="1"/>
    <col min="61" max="61" width="5.85546875" bestFit="1" customWidth="1"/>
    <col min="62" max="62" width="17.7109375" bestFit="1" customWidth="1"/>
    <col min="63" max="63" width="23.7109375" bestFit="1" customWidth="1"/>
    <col min="64" max="64" width="20.42578125" bestFit="1" customWidth="1"/>
    <col min="65" max="65" width="22.140625" bestFit="1" customWidth="1"/>
    <col min="66" max="66" width="22.42578125" bestFit="1" customWidth="1"/>
    <col min="67" max="67" width="18.140625" bestFit="1" customWidth="1"/>
    <col min="68" max="68" width="16.7109375" bestFit="1" customWidth="1"/>
    <col min="69" max="69" width="16.42578125" bestFit="1" customWidth="1"/>
    <col min="70" max="70" width="35.140625" bestFit="1" customWidth="1"/>
    <col min="71" max="71" width="7.5703125" bestFit="1" customWidth="1"/>
    <col min="72" max="72" width="22" bestFit="1" customWidth="1"/>
    <col min="73" max="73" width="35.140625" bestFit="1" customWidth="1"/>
    <col min="74" max="74" width="14.42578125" bestFit="1" customWidth="1"/>
    <col min="75" max="75" width="15" bestFit="1" customWidth="1"/>
    <col min="76" max="76" width="14" bestFit="1" customWidth="1"/>
    <col min="77" max="77" width="13" bestFit="1" customWidth="1"/>
    <col min="78" max="78" width="20.85546875" bestFit="1" customWidth="1"/>
    <col min="79" max="79" width="23.5703125" bestFit="1" customWidth="1"/>
    <col min="80" max="80" width="13.42578125" bestFit="1" customWidth="1"/>
    <col min="81" max="81" width="28.85546875" bestFit="1" customWidth="1"/>
    <col min="82" max="82" width="18.5703125" bestFit="1" customWidth="1"/>
    <col min="83" max="83" width="22.42578125" bestFit="1" customWidth="1"/>
    <col min="84" max="85" width="17" bestFit="1" customWidth="1"/>
    <col min="86" max="87" width="16.5703125" bestFit="1" customWidth="1"/>
    <col min="88" max="88" width="7.85546875" bestFit="1" customWidth="1"/>
    <col min="89" max="89" width="8.28515625" bestFit="1" customWidth="1"/>
    <col min="90" max="90" width="14.85546875" bestFit="1" customWidth="1"/>
  </cols>
  <sheetData>
    <row r="1" spans="1:90" s="11" customFormat="1" ht="57" customHeight="1">
      <c r="A1" s="11" t="s">
        <v>3</v>
      </c>
      <c r="B1" s="11" t="s">
        <v>352</v>
      </c>
      <c r="C1" s="11" t="s">
        <v>355</v>
      </c>
      <c r="D1" s="11" t="s">
        <v>360</v>
      </c>
      <c r="E1" s="11" t="s">
        <v>356</v>
      </c>
      <c r="F1" s="11" t="s">
        <v>2</v>
      </c>
      <c r="G1" s="16" t="s">
        <v>413</v>
      </c>
      <c r="I1" s="11" t="s">
        <v>0</v>
      </c>
      <c r="J1" s="11" t="s">
        <v>1</v>
      </c>
      <c r="K1" s="11" t="s">
        <v>338</v>
      </c>
      <c r="L1" s="11" t="s">
        <v>339</v>
      </c>
      <c r="M1" s="11" t="s">
        <v>340</v>
      </c>
      <c r="N1" s="11" t="s">
        <v>341</v>
      </c>
      <c r="O1" s="11" t="s">
        <v>342</v>
      </c>
      <c r="P1" s="11" t="s">
        <v>343</v>
      </c>
      <c r="Q1" s="11" t="s">
        <v>344</v>
      </c>
      <c r="R1" s="11" t="s">
        <v>345</v>
      </c>
      <c r="S1" s="11" t="s">
        <v>346</v>
      </c>
      <c r="T1" s="11" t="s">
        <v>347</v>
      </c>
      <c r="U1" s="11" t="s">
        <v>348</v>
      </c>
      <c r="V1" s="11" t="s">
        <v>349</v>
      </c>
      <c r="W1" s="11" t="s">
        <v>350</v>
      </c>
      <c r="X1" s="11" t="s">
        <v>351</v>
      </c>
      <c r="Y1" s="11" t="s">
        <v>353</v>
      </c>
      <c r="Z1" s="11" t="s">
        <v>354</v>
      </c>
      <c r="AA1" s="11" t="s">
        <v>357</v>
      </c>
      <c r="AB1" s="11" t="s">
        <v>358</v>
      </c>
      <c r="AC1" s="11" t="s">
        <v>359</v>
      </c>
      <c r="AD1" s="11" t="s">
        <v>361</v>
      </c>
      <c r="AE1" s="11" t="s">
        <v>362</v>
      </c>
      <c r="AF1" s="11" t="s">
        <v>363</v>
      </c>
      <c r="AG1" s="11" t="s">
        <v>364</v>
      </c>
      <c r="AH1" s="11" t="s">
        <v>365</v>
      </c>
      <c r="AI1" s="11" t="s">
        <v>366</v>
      </c>
      <c r="AJ1" s="11" t="s">
        <v>367</v>
      </c>
      <c r="AK1" s="11" t="s">
        <v>368</v>
      </c>
      <c r="AL1" s="11" t="s">
        <v>369</v>
      </c>
      <c r="AM1" s="11" t="s">
        <v>370</v>
      </c>
      <c r="AN1" s="11" t="s">
        <v>371</v>
      </c>
      <c r="AO1" s="11" t="s">
        <v>372</v>
      </c>
      <c r="AP1" s="11" t="s">
        <v>373</v>
      </c>
      <c r="AQ1" s="11" t="s">
        <v>374</v>
      </c>
      <c r="AR1" s="11" t="s">
        <v>375</v>
      </c>
      <c r="AS1" s="11" t="s">
        <v>376</v>
      </c>
      <c r="AT1" s="11" t="s">
        <v>377</v>
      </c>
      <c r="AU1" s="11" t="s">
        <v>378</v>
      </c>
      <c r="AV1" s="11" t="s">
        <v>379</v>
      </c>
      <c r="AW1" s="11" t="s">
        <v>380</v>
      </c>
      <c r="AX1" s="11" t="s">
        <v>381</v>
      </c>
      <c r="AY1" s="11" t="s">
        <v>382</v>
      </c>
      <c r="AZ1" s="11" t="s">
        <v>383</v>
      </c>
      <c r="BA1" s="11" t="s">
        <v>384</v>
      </c>
      <c r="BB1" s="11" t="s">
        <v>385</v>
      </c>
      <c r="BC1" s="11" t="s">
        <v>386</v>
      </c>
      <c r="BD1" s="11" t="s">
        <v>387</v>
      </c>
      <c r="BE1" s="11" t="s">
        <v>388</v>
      </c>
      <c r="BF1" s="11" t="s">
        <v>389</v>
      </c>
      <c r="BG1" s="11" t="s">
        <v>390</v>
      </c>
      <c r="BH1" s="11" t="s">
        <v>391</v>
      </c>
      <c r="BI1" s="11" t="s">
        <v>392</v>
      </c>
      <c r="BJ1" s="11" t="s">
        <v>393</v>
      </c>
      <c r="BK1" s="11" t="s">
        <v>394</v>
      </c>
      <c r="BL1" s="11" t="s">
        <v>395</v>
      </c>
      <c r="BM1" s="11" t="s">
        <v>396</v>
      </c>
      <c r="BN1" s="11" t="s">
        <v>397</v>
      </c>
      <c r="BO1" s="11" t="s">
        <v>398</v>
      </c>
      <c r="BP1" s="11" t="s">
        <v>399</v>
      </c>
      <c r="BQ1" s="11" t="s">
        <v>400</v>
      </c>
      <c r="BR1" s="11" t="s">
        <v>401</v>
      </c>
      <c r="BS1" s="11" t="s">
        <v>402</v>
      </c>
      <c r="BT1" s="11" t="s">
        <v>403</v>
      </c>
      <c r="BU1" s="11" t="s">
        <v>404</v>
      </c>
      <c r="BV1" s="11" t="s">
        <v>405</v>
      </c>
      <c r="BW1" s="11" t="s">
        <v>406</v>
      </c>
      <c r="BX1" s="11" t="s">
        <v>407</v>
      </c>
      <c r="BY1" s="11" t="s">
        <v>408</v>
      </c>
      <c r="BZ1" s="11" t="s">
        <v>409</v>
      </c>
      <c r="CA1" s="11" t="s">
        <v>410</v>
      </c>
      <c r="CB1" s="11" t="s">
        <v>411</v>
      </c>
      <c r="CC1" s="11" t="s">
        <v>412</v>
      </c>
      <c r="CD1" s="11" t="s">
        <v>413</v>
      </c>
      <c r="CE1" s="11" t="s">
        <v>414</v>
      </c>
      <c r="CF1" s="11" t="s">
        <v>415</v>
      </c>
      <c r="CG1" s="11" t="s">
        <v>416</v>
      </c>
      <c r="CH1" s="11" t="s">
        <v>417</v>
      </c>
      <c r="CI1" s="11" t="s">
        <v>418</v>
      </c>
      <c r="CJ1" s="11" t="s">
        <v>419</v>
      </c>
      <c r="CK1" s="11" t="s">
        <v>420</v>
      </c>
      <c r="CL1" s="11" t="s">
        <v>421</v>
      </c>
    </row>
    <row r="2" spans="1:90">
      <c r="A2" t="s">
        <v>63</v>
      </c>
      <c r="B2" t="s">
        <v>246</v>
      </c>
      <c r="C2" t="s">
        <v>247</v>
      </c>
      <c r="D2">
        <v>2023</v>
      </c>
      <c r="E2" t="s">
        <v>248</v>
      </c>
      <c r="F2" t="s">
        <v>245</v>
      </c>
      <c r="G2" s="17">
        <v>535650</v>
      </c>
      <c r="H2" s="19">
        <f>G2*100/CC2</f>
        <v>4.6497476558119022</v>
      </c>
      <c r="I2" t="s">
        <v>53</v>
      </c>
      <c r="J2" t="s">
        <v>5</v>
      </c>
      <c r="K2" t="s">
        <v>930</v>
      </c>
      <c r="L2">
        <v>5890</v>
      </c>
      <c r="M2">
        <v>11631020</v>
      </c>
      <c r="N2" t="s">
        <v>503</v>
      </c>
      <c r="O2" t="s">
        <v>931</v>
      </c>
      <c r="P2" t="s">
        <v>932</v>
      </c>
      <c r="Q2" t="s">
        <v>932</v>
      </c>
      <c r="R2" t="s">
        <v>426</v>
      </c>
      <c r="S2" t="s">
        <v>603</v>
      </c>
      <c r="T2" t="s">
        <v>933</v>
      </c>
      <c r="U2" t="s">
        <v>934</v>
      </c>
      <c r="V2" t="s">
        <v>935</v>
      </c>
      <c r="W2" t="s">
        <v>430</v>
      </c>
      <c r="X2" t="s">
        <v>936</v>
      </c>
      <c r="Y2" t="s">
        <v>246</v>
      </c>
      <c r="Z2" t="s">
        <v>50</v>
      </c>
      <c r="AA2" t="s">
        <v>248</v>
      </c>
      <c r="AB2" t="s">
        <v>248</v>
      </c>
      <c r="AC2" t="s">
        <v>619</v>
      </c>
      <c r="AD2" t="s">
        <v>434</v>
      </c>
      <c r="AE2">
        <v>50798</v>
      </c>
      <c r="AF2" t="s">
        <v>585</v>
      </c>
      <c r="AG2" t="s">
        <v>426</v>
      </c>
      <c r="AH2" t="s">
        <v>937</v>
      </c>
      <c r="AI2">
        <v>10500000</v>
      </c>
      <c r="AJ2" t="s">
        <v>585</v>
      </c>
      <c r="AK2" t="s">
        <v>426</v>
      </c>
      <c r="AL2">
        <v>0</v>
      </c>
      <c r="AM2" t="s">
        <v>437</v>
      </c>
      <c r="AN2" t="s">
        <v>585</v>
      </c>
      <c r="AO2" t="s">
        <v>438</v>
      </c>
      <c r="AP2" t="s">
        <v>439</v>
      </c>
      <c r="AQ2" t="s">
        <v>426</v>
      </c>
      <c r="AR2">
        <v>88</v>
      </c>
      <c r="AS2">
        <v>0</v>
      </c>
      <c r="AT2">
        <v>0</v>
      </c>
      <c r="AU2">
        <v>-490000</v>
      </c>
      <c r="AV2">
        <v>11100000</v>
      </c>
      <c r="AW2">
        <v>10500000</v>
      </c>
      <c r="AX2">
        <v>600000</v>
      </c>
      <c r="AY2" t="s">
        <v>938</v>
      </c>
      <c r="AZ2">
        <v>0</v>
      </c>
      <c r="BA2">
        <v>419980</v>
      </c>
      <c r="BB2">
        <v>419980</v>
      </c>
      <c r="BC2">
        <v>0</v>
      </c>
      <c r="BD2" t="s">
        <v>441</v>
      </c>
      <c r="BE2">
        <v>0</v>
      </c>
      <c r="BF2">
        <v>0</v>
      </c>
      <c r="BG2">
        <v>0</v>
      </c>
      <c r="BH2">
        <v>0</v>
      </c>
      <c r="BI2" t="s">
        <v>441</v>
      </c>
      <c r="BJ2">
        <v>0</v>
      </c>
      <c r="BK2">
        <v>0</v>
      </c>
      <c r="BL2">
        <v>0</v>
      </c>
      <c r="BM2">
        <v>0</v>
      </c>
      <c r="BN2" t="s">
        <v>441</v>
      </c>
      <c r="BO2">
        <v>0</v>
      </c>
      <c r="BP2">
        <v>11519980</v>
      </c>
      <c r="BQ2">
        <v>10984330</v>
      </c>
      <c r="BR2">
        <v>535650</v>
      </c>
      <c r="BS2" t="s">
        <v>939</v>
      </c>
      <c r="BT2">
        <v>535650</v>
      </c>
      <c r="BU2" t="s">
        <v>939</v>
      </c>
      <c r="BV2">
        <v>0</v>
      </c>
      <c r="BW2">
        <v>0</v>
      </c>
      <c r="BX2">
        <v>11519980</v>
      </c>
      <c r="BY2">
        <v>0</v>
      </c>
      <c r="BZ2">
        <v>419980</v>
      </c>
      <c r="CA2">
        <v>0</v>
      </c>
      <c r="CB2">
        <v>12183980</v>
      </c>
      <c r="CC2">
        <v>11519980</v>
      </c>
      <c r="CD2" s="2">
        <v>535650</v>
      </c>
      <c r="CE2" t="s">
        <v>939</v>
      </c>
      <c r="CF2" t="s">
        <v>426</v>
      </c>
      <c r="CG2">
        <v>0</v>
      </c>
      <c r="CH2" t="s">
        <v>426</v>
      </c>
      <c r="CI2">
        <v>0</v>
      </c>
      <c r="CJ2">
        <v>0</v>
      </c>
      <c r="CK2">
        <v>64350</v>
      </c>
      <c r="CL2" t="s">
        <v>426</v>
      </c>
    </row>
    <row r="3" spans="1:90">
      <c r="A3" t="s">
        <v>6</v>
      </c>
      <c r="B3" t="s">
        <v>66</v>
      </c>
      <c r="C3" t="s">
        <v>250</v>
      </c>
      <c r="D3">
        <v>2022</v>
      </c>
      <c r="E3" t="s">
        <v>251</v>
      </c>
      <c r="F3" t="s">
        <v>249</v>
      </c>
      <c r="G3" s="17">
        <v>1073000</v>
      </c>
      <c r="H3" s="19">
        <f t="shared" ref="H3:H32" si="0">G3*100/CC3</f>
        <v>13.668789808917197</v>
      </c>
      <c r="I3" t="s">
        <v>53</v>
      </c>
      <c r="J3" t="s">
        <v>44</v>
      </c>
      <c r="K3" t="s">
        <v>940</v>
      </c>
      <c r="L3">
        <v>5902</v>
      </c>
      <c r="M3">
        <v>15030471</v>
      </c>
      <c r="N3" t="s">
        <v>592</v>
      </c>
      <c r="O3" t="s">
        <v>941</v>
      </c>
      <c r="P3" t="s">
        <v>426</v>
      </c>
      <c r="Q3" t="s">
        <v>942</v>
      </c>
      <c r="R3" t="s">
        <v>426</v>
      </c>
      <c r="S3" t="s">
        <v>447</v>
      </c>
      <c r="T3" t="s">
        <v>943</v>
      </c>
      <c r="U3" t="s">
        <v>944</v>
      </c>
      <c r="V3" t="s">
        <v>945</v>
      </c>
      <c r="W3" t="s">
        <v>509</v>
      </c>
      <c r="X3" t="s">
        <v>617</v>
      </c>
      <c r="Y3" t="s">
        <v>946</v>
      </c>
      <c r="Z3" t="s">
        <v>39</v>
      </c>
      <c r="AA3" t="s">
        <v>251</v>
      </c>
      <c r="AB3" t="s">
        <v>251</v>
      </c>
      <c r="AC3" t="s">
        <v>619</v>
      </c>
      <c r="AD3" t="s">
        <v>434</v>
      </c>
      <c r="AE3">
        <v>50799</v>
      </c>
      <c r="AF3" t="s">
        <v>585</v>
      </c>
      <c r="AG3" t="s">
        <v>426</v>
      </c>
      <c r="AH3" t="s">
        <v>947</v>
      </c>
      <c r="AI3">
        <v>6500000</v>
      </c>
      <c r="AJ3" t="s">
        <v>585</v>
      </c>
      <c r="AK3" t="s">
        <v>426</v>
      </c>
      <c r="AL3">
        <v>0</v>
      </c>
      <c r="AM3" t="s">
        <v>543</v>
      </c>
      <c r="AN3" t="s">
        <v>585</v>
      </c>
      <c r="AO3" t="s">
        <v>481</v>
      </c>
      <c r="AP3" t="s">
        <v>439</v>
      </c>
      <c r="AQ3" t="s">
        <v>426</v>
      </c>
      <c r="AR3">
        <v>29</v>
      </c>
      <c r="AS3">
        <v>0</v>
      </c>
      <c r="AT3">
        <v>0</v>
      </c>
      <c r="AU3">
        <v>-417000</v>
      </c>
      <c r="AV3">
        <v>7573000</v>
      </c>
      <c r="AW3">
        <v>6500000</v>
      </c>
      <c r="AX3">
        <v>1073000</v>
      </c>
      <c r="AY3" t="s">
        <v>948</v>
      </c>
      <c r="AZ3">
        <v>0</v>
      </c>
      <c r="BA3">
        <v>277000</v>
      </c>
      <c r="BB3">
        <v>277000</v>
      </c>
      <c r="BC3">
        <v>0</v>
      </c>
      <c r="BD3" t="s">
        <v>441</v>
      </c>
      <c r="BE3">
        <v>0</v>
      </c>
      <c r="BF3">
        <v>0</v>
      </c>
      <c r="BG3">
        <v>0</v>
      </c>
      <c r="BH3">
        <v>0</v>
      </c>
      <c r="BI3" t="s">
        <v>441</v>
      </c>
      <c r="BJ3">
        <v>0</v>
      </c>
      <c r="BK3">
        <v>0</v>
      </c>
      <c r="BL3">
        <v>0</v>
      </c>
      <c r="BM3">
        <v>0</v>
      </c>
      <c r="BN3" t="s">
        <v>441</v>
      </c>
      <c r="BO3">
        <v>0</v>
      </c>
      <c r="BP3">
        <v>7850000</v>
      </c>
      <c r="BQ3">
        <v>6777000</v>
      </c>
      <c r="BR3">
        <v>1073000</v>
      </c>
      <c r="BS3" t="s">
        <v>949</v>
      </c>
      <c r="BT3">
        <v>1073000</v>
      </c>
      <c r="BU3" t="s">
        <v>949</v>
      </c>
      <c r="BV3">
        <v>0</v>
      </c>
      <c r="BW3">
        <v>0</v>
      </c>
      <c r="BX3">
        <v>7850000</v>
      </c>
      <c r="BY3">
        <v>0</v>
      </c>
      <c r="BZ3">
        <v>277000</v>
      </c>
      <c r="CA3">
        <v>0</v>
      </c>
      <c r="CB3">
        <v>7885000</v>
      </c>
      <c r="CC3">
        <v>7850000</v>
      </c>
      <c r="CD3" s="2">
        <v>1073000</v>
      </c>
      <c r="CE3" t="s">
        <v>949</v>
      </c>
      <c r="CF3" t="s">
        <v>426</v>
      </c>
      <c r="CG3">
        <v>0</v>
      </c>
      <c r="CH3" t="s">
        <v>426</v>
      </c>
      <c r="CI3">
        <v>0</v>
      </c>
      <c r="CJ3">
        <v>0</v>
      </c>
      <c r="CK3">
        <v>0</v>
      </c>
      <c r="CL3" t="s">
        <v>426</v>
      </c>
    </row>
    <row r="4" spans="1:90" s="2" customFormat="1">
      <c r="A4" s="2" t="s">
        <v>61</v>
      </c>
      <c r="B4" s="2" t="s">
        <v>62</v>
      </c>
      <c r="C4" s="2" t="s">
        <v>253</v>
      </c>
      <c r="D4" s="2">
        <v>2013</v>
      </c>
      <c r="E4" s="2" t="s">
        <v>254</v>
      </c>
      <c r="F4" s="2" t="s">
        <v>60</v>
      </c>
      <c r="G4" s="20">
        <v>-300000</v>
      </c>
      <c r="H4" s="19">
        <f t="shared" si="0"/>
        <v>-6.3829787234042552</v>
      </c>
      <c r="I4" s="2" t="s">
        <v>53</v>
      </c>
      <c r="J4" s="2" t="s">
        <v>59</v>
      </c>
      <c r="K4" s="2" t="s">
        <v>950</v>
      </c>
      <c r="L4" s="2">
        <v>5903</v>
      </c>
      <c r="M4" s="2">
        <v>76981608</v>
      </c>
      <c r="N4" s="2" t="s">
        <v>760</v>
      </c>
      <c r="O4" s="2" t="s">
        <v>951</v>
      </c>
      <c r="P4" s="2" t="s">
        <v>426</v>
      </c>
      <c r="Q4" s="2" t="s">
        <v>952</v>
      </c>
      <c r="R4" s="2" t="s">
        <v>426</v>
      </c>
      <c r="S4" s="2" t="s">
        <v>488</v>
      </c>
      <c r="T4" s="2" t="s">
        <v>426</v>
      </c>
      <c r="U4" s="2" t="s">
        <v>953</v>
      </c>
      <c r="V4" s="2" t="s">
        <v>954</v>
      </c>
      <c r="W4" s="2" t="s">
        <v>430</v>
      </c>
      <c r="X4" s="2" t="s">
        <v>955</v>
      </c>
      <c r="Y4" s="2" t="s">
        <v>62</v>
      </c>
      <c r="Z4" s="2" t="s">
        <v>252</v>
      </c>
      <c r="AA4" s="2" t="s">
        <v>254</v>
      </c>
      <c r="AB4" s="2" t="s">
        <v>254</v>
      </c>
      <c r="AC4" s="2" t="s">
        <v>619</v>
      </c>
      <c r="AD4" s="2" t="s">
        <v>434</v>
      </c>
      <c r="AE4" s="2">
        <v>50808</v>
      </c>
      <c r="AF4" s="2" t="s">
        <v>703</v>
      </c>
      <c r="AG4" s="2" t="s">
        <v>426</v>
      </c>
      <c r="AH4" s="2" t="s">
        <v>634</v>
      </c>
      <c r="AI4" s="2">
        <v>5000000</v>
      </c>
      <c r="AJ4" s="2" t="s">
        <v>703</v>
      </c>
      <c r="AK4" s="2" t="s">
        <v>426</v>
      </c>
      <c r="AL4" s="2">
        <v>0</v>
      </c>
      <c r="AM4" s="2" t="s">
        <v>437</v>
      </c>
      <c r="AN4" s="2" t="s">
        <v>703</v>
      </c>
      <c r="AO4" s="2" t="s">
        <v>438</v>
      </c>
      <c r="AP4" s="2" t="s">
        <v>439</v>
      </c>
      <c r="AQ4" s="2" t="s">
        <v>426</v>
      </c>
      <c r="AR4" s="2">
        <v>21</v>
      </c>
      <c r="AS4" s="2">
        <v>0</v>
      </c>
      <c r="AT4" s="2">
        <v>0</v>
      </c>
      <c r="AU4" s="2">
        <v>0</v>
      </c>
      <c r="AV4" s="2">
        <v>4700000</v>
      </c>
      <c r="AW4" s="2">
        <v>5000000</v>
      </c>
      <c r="AX4" s="2">
        <v>-300000</v>
      </c>
      <c r="AY4" s="2" t="s">
        <v>956</v>
      </c>
      <c r="AZ4" s="2">
        <v>0</v>
      </c>
      <c r="BA4" s="2">
        <v>0</v>
      </c>
      <c r="BB4" s="2">
        <v>0</v>
      </c>
      <c r="BC4" s="2">
        <v>0</v>
      </c>
      <c r="BD4" s="2" t="s">
        <v>441</v>
      </c>
      <c r="BE4" s="2">
        <v>0</v>
      </c>
      <c r="BF4" s="2">
        <v>0</v>
      </c>
      <c r="BG4" s="2">
        <v>0</v>
      </c>
      <c r="BH4" s="2">
        <v>0</v>
      </c>
      <c r="BI4" s="2" t="s">
        <v>441</v>
      </c>
      <c r="BJ4" s="2">
        <v>0</v>
      </c>
      <c r="BK4" s="2">
        <v>0</v>
      </c>
      <c r="BL4" s="2">
        <v>0</v>
      </c>
      <c r="BM4" s="2">
        <v>0</v>
      </c>
      <c r="BN4" s="2" t="s">
        <v>441</v>
      </c>
      <c r="BO4" s="2">
        <v>0</v>
      </c>
      <c r="BP4" s="2">
        <v>4700000</v>
      </c>
      <c r="BQ4" s="2">
        <v>5000000</v>
      </c>
      <c r="BR4" s="2">
        <v>-300000</v>
      </c>
      <c r="BS4" s="2" t="s">
        <v>956</v>
      </c>
      <c r="BT4" s="2">
        <v>-300000</v>
      </c>
      <c r="BU4" s="2" t="s">
        <v>956</v>
      </c>
      <c r="BV4" s="2">
        <v>0</v>
      </c>
      <c r="BW4" s="2">
        <v>0</v>
      </c>
      <c r="BX4" s="2">
        <v>5700000</v>
      </c>
      <c r="BY4" s="2">
        <v>-1000000</v>
      </c>
      <c r="BZ4" s="2">
        <v>0</v>
      </c>
      <c r="CA4" s="2">
        <v>0</v>
      </c>
      <c r="CB4" s="2">
        <v>4700000</v>
      </c>
      <c r="CC4" s="2">
        <v>4700000</v>
      </c>
      <c r="CD4" s="2">
        <v>-300000</v>
      </c>
      <c r="CE4" s="2" t="s">
        <v>956</v>
      </c>
      <c r="CF4" s="2" t="s">
        <v>426</v>
      </c>
      <c r="CG4" s="2">
        <v>0</v>
      </c>
      <c r="CH4" s="2" t="s">
        <v>426</v>
      </c>
      <c r="CI4" s="2">
        <v>0</v>
      </c>
      <c r="CJ4" s="2">
        <v>0</v>
      </c>
      <c r="CK4" s="2">
        <v>0</v>
      </c>
      <c r="CL4" s="2" t="s">
        <v>426</v>
      </c>
    </row>
    <row r="5" spans="1:90">
      <c r="A5" t="s">
        <v>256</v>
      </c>
      <c r="B5" t="s">
        <v>257</v>
      </c>
      <c r="C5" t="s">
        <v>258</v>
      </c>
      <c r="D5">
        <v>2022</v>
      </c>
      <c r="E5" t="s">
        <v>259</v>
      </c>
      <c r="F5" t="s">
        <v>255</v>
      </c>
      <c r="G5" s="17">
        <v>1390000</v>
      </c>
      <c r="H5" s="19">
        <f t="shared" si="0"/>
        <v>16.01965692579326</v>
      </c>
      <c r="I5" t="s">
        <v>53</v>
      </c>
      <c r="J5" t="s">
        <v>44</v>
      </c>
      <c r="K5" t="s">
        <v>957</v>
      </c>
      <c r="L5">
        <v>5904</v>
      </c>
      <c r="M5">
        <v>18098948</v>
      </c>
      <c r="N5" t="s">
        <v>444</v>
      </c>
      <c r="O5" t="s">
        <v>958</v>
      </c>
      <c r="P5" t="s">
        <v>426</v>
      </c>
      <c r="Q5" t="s">
        <v>959</v>
      </c>
      <c r="R5" t="s">
        <v>426</v>
      </c>
      <c r="S5" t="s">
        <v>960</v>
      </c>
      <c r="T5" t="s">
        <v>961</v>
      </c>
      <c r="U5" t="s">
        <v>962</v>
      </c>
      <c r="V5" t="s">
        <v>963</v>
      </c>
      <c r="W5" t="s">
        <v>509</v>
      </c>
      <c r="X5" t="s">
        <v>964</v>
      </c>
      <c r="Y5" t="s">
        <v>257</v>
      </c>
      <c r="Z5" t="s">
        <v>51</v>
      </c>
      <c r="AA5" t="s">
        <v>259</v>
      </c>
      <c r="AB5" t="s">
        <v>426</v>
      </c>
      <c r="AC5" t="s">
        <v>619</v>
      </c>
      <c r="AD5" t="s">
        <v>434</v>
      </c>
      <c r="AE5">
        <v>50794</v>
      </c>
      <c r="AF5" t="s">
        <v>585</v>
      </c>
      <c r="AG5" t="s">
        <v>426</v>
      </c>
      <c r="AH5" t="s">
        <v>965</v>
      </c>
      <c r="AI5">
        <v>7000000</v>
      </c>
      <c r="AJ5" t="s">
        <v>585</v>
      </c>
      <c r="AK5" t="s">
        <v>426</v>
      </c>
      <c r="AL5">
        <v>0</v>
      </c>
      <c r="AM5" t="s">
        <v>543</v>
      </c>
      <c r="AN5" t="s">
        <v>585</v>
      </c>
      <c r="AO5" t="s">
        <v>481</v>
      </c>
      <c r="AP5" t="s">
        <v>439</v>
      </c>
      <c r="AQ5" t="s">
        <v>426</v>
      </c>
      <c r="AR5">
        <v>51</v>
      </c>
      <c r="AS5">
        <v>0</v>
      </c>
      <c r="AT5">
        <v>0</v>
      </c>
      <c r="AU5">
        <v>0</v>
      </c>
      <c r="AV5">
        <v>8390000</v>
      </c>
      <c r="AW5">
        <v>7000000</v>
      </c>
      <c r="AX5">
        <v>1390000</v>
      </c>
      <c r="AY5" t="s">
        <v>966</v>
      </c>
      <c r="AZ5">
        <v>0</v>
      </c>
      <c r="BA5">
        <v>286840</v>
      </c>
      <c r="BB5">
        <v>286840</v>
      </c>
      <c r="BC5">
        <v>0</v>
      </c>
      <c r="BD5" t="s">
        <v>441</v>
      </c>
      <c r="BE5">
        <v>0</v>
      </c>
      <c r="BF5">
        <v>0</v>
      </c>
      <c r="BG5">
        <v>0</v>
      </c>
      <c r="BH5">
        <v>0</v>
      </c>
      <c r="BI5" t="s">
        <v>441</v>
      </c>
      <c r="BJ5">
        <v>0</v>
      </c>
      <c r="BK5">
        <v>0</v>
      </c>
      <c r="BL5">
        <v>0</v>
      </c>
      <c r="BM5">
        <v>0</v>
      </c>
      <c r="BN5" t="s">
        <v>441</v>
      </c>
      <c r="BO5">
        <v>0</v>
      </c>
      <c r="BP5">
        <v>8676840</v>
      </c>
      <c r="BQ5">
        <v>7286840</v>
      </c>
      <c r="BR5">
        <v>1390000</v>
      </c>
      <c r="BS5" t="s">
        <v>967</v>
      </c>
      <c r="BT5">
        <v>1390000</v>
      </c>
      <c r="BU5" t="s">
        <v>967</v>
      </c>
      <c r="BV5">
        <v>0</v>
      </c>
      <c r="BW5">
        <v>0</v>
      </c>
      <c r="BX5">
        <v>8676840</v>
      </c>
      <c r="BY5">
        <v>0</v>
      </c>
      <c r="BZ5">
        <v>286840</v>
      </c>
      <c r="CA5">
        <v>0</v>
      </c>
      <c r="CB5">
        <v>8676840</v>
      </c>
      <c r="CC5">
        <v>8676840</v>
      </c>
      <c r="CD5" s="2">
        <v>1390000</v>
      </c>
      <c r="CE5" t="s">
        <v>967</v>
      </c>
      <c r="CF5" t="s">
        <v>426</v>
      </c>
      <c r="CG5">
        <v>0</v>
      </c>
      <c r="CH5" t="s">
        <v>426</v>
      </c>
      <c r="CI5">
        <v>0</v>
      </c>
      <c r="CJ5">
        <v>0</v>
      </c>
      <c r="CK5">
        <v>0</v>
      </c>
      <c r="CL5" t="s">
        <v>426</v>
      </c>
    </row>
    <row r="6" spans="1:90">
      <c r="A6" t="s">
        <v>6</v>
      </c>
      <c r="B6" t="s">
        <v>27</v>
      </c>
      <c r="C6" t="s">
        <v>261</v>
      </c>
      <c r="D6">
        <v>2023</v>
      </c>
      <c r="E6" t="s">
        <v>262</v>
      </c>
      <c r="F6" t="s">
        <v>260</v>
      </c>
      <c r="G6" s="17">
        <v>1250000</v>
      </c>
      <c r="H6" s="19">
        <f t="shared" si="0"/>
        <v>5.0471932760079854</v>
      </c>
      <c r="I6" t="s">
        <v>53</v>
      </c>
      <c r="J6" t="s">
        <v>43</v>
      </c>
      <c r="K6" t="s">
        <v>968</v>
      </c>
      <c r="L6">
        <v>5908</v>
      </c>
      <c r="M6">
        <v>16573460</v>
      </c>
      <c r="N6" t="s">
        <v>921</v>
      </c>
      <c r="O6" t="s">
        <v>969</v>
      </c>
      <c r="P6" t="s">
        <v>426</v>
      </c>
      <c r="Q6" t="s">
        <v>970</v>
      </c>
      <c r="R6" t="s">
        <v>426</v>
      </c>
      <c r="S6" t="s">
        <v>447</v>
      </c>
      <c r="T6" t="s">
        <v>971</v>
      </c>
      <c r="U6" t="s">
        <v>972</v>
      </c>
      <c r="V6" t="s">
        <v>973</v>
      </c>
      <c r="W6" t="s">
        <v>463</v>
      </c>
      <c r="X6" t="s">
        <v>464</v>
      </c>
      <c r="Y6" t="s">
        <v>974</v>
      </c>
      <c r="Z6" t="s">
        <v>13</v>
      </c>
      <c r="AA6" t="s">
        <v>262</v>
      </c>
      <c r="AB6" t="s">
        <v>262</v>
      </c>
      <c r="AC6" t="s">
        <v>619</v>
      </c>
      <c r="AD6" t="s">
        <v>434</v>
      </c>
      <c r="AE6">
        <v>50815</v>
      </c>
      <c r="AF6" t="s">
        <v>633</v>
      </c>
      <c r="AG6" t="s">
        <v>426</v>
      </c>
      <c r="AH6" t="s">
        <v>937</v>
      </c>
      <c r="AI6">
        <v>23000000</v>
      </c>
      <c r="AJ6" t="s">
        <v>633</v>
      </c>
      <c r="AK6" t="s">
        <v>426</v>
      </c>
      <c r="AL6">
        <v>0</v>
      </c>
      <c r="AM6" t="s">
        <v>975</v>
      </c>
      <c r="AN6" t="s">
        <v>633</v>
      </c>
      <c r="AO6" t="s">
        <v>481</v>
      </c>
      <c r="AP6" t="s">
        <v>439</v>
      </c>
      <c r="AQ6" t="s">
        <v>426</v>
      </c>
      <c r="AR6">
        <v>49</v>
      </c>
      <c r="AS6">
        <v>0</v>
      </c>
      <c r="AT6">
        <v>0</v>
      </c>
      <c r="AU6">
        <v>-1240000</v>
      </c>
      <c r="AV6">
        <v>24250000</v>
      </c>
      <c r="AW6">
        <v>23000000</v>
      </c>
      <c r="AX6">
        <v>1250000</v>
      </c>
      <c r="AY6" t="s">
        <v>976</v>
      </c>
      <c r="AZ6">
        <v>0</v>
      </c>
      <c r="BA6">
        <v>516240</v>
      </c>
      <c r="BB6">
        <v>516240</v>
      </c>
      <c r="BC6">
        <v>0</v>
      </c>
      <c r="BD6" t="s">
        <v>441</v>
      </c>
      <c r="BE6">
        <v>0</v>
      </c>
      <c r="BF6">
        <v>0</v>
      </c>
      <c r="BG6">
        <v>0</v>
      </c>
      <c r="BH6">
        <v>0</v>
      </c>
      <c r="BI6" t="s">
        <v>441</v>
      </c>
      <c r="BJ6">
        <v>0</v>
      </c>
      <c r="BK6">
        <v>0</v>
      </c>
      <c r="BL6">
        <v>0</v>
      </c>
      <c r="BM6">
        <v>0</v>
      </c>
      <c r="BN6" t="s">
        <v>441</v>
      </c>
      <c r="BO6">
        <v>0</v>
      </c>
      <c r="BP6">
        <v>24766240</v>
      </c>
      <c r="BQ6">
        <v>23516240</v>
      </c>
      <c r="BR6">
        <v>1250000</v>
      </c>
      <c r="BS6" t="s">
        <v>977</v>
      </c>
      <c r="BT6">
        <v>1250000</v>
      </c>
      <c r="BU6" t="s">
        <v>977</v>
      </c>
      <c r="BV6">
        <v>0</v>
      </c>
      <c r="BW6">
        <v>0</v>
      </c>
      <c r="BX6">
        <v>24766240</v>
      </c>
      <c r="BY6">
        <v>0</v>
      </c>
      <c r="BZ6">
        <v>516240</v>
      </c>
      <c r="CA6">
        <v>0</v>
      </c>
      <c r="CB6">
        <v>24766240</v>
      </c>
      <c r="CC6">
        <v>24766240</v>
      </c>
      <c r="CD6" s="2">
        <v>1250000</v>
      </c>
      <c r="CE6" t="s">
        <v>977</v>
      </c>
      <c r="CF6" t="s">
        <v>426</v>
      </c>
      <c r="CG6">
        <v>0</v>
      </c>
      <c r="CH6" t="s">
        <v>426</v>
      </c>
      <c r="CI6">
        <v>0</v>
      </c>
      <c r="CJ6">
        <v>0</v>
      </c>
      <c r="CK6">
        <v>0</v>
      </c>
      <c r="CL6" t="s">
        <v>426</v>
      </c>
    </row>
    <row r="7" spans="1:90">
      <c r="A7" t="s">
        <v>6</v>
      </c>
      <c r="B7" t="s">
        <v>9</v>
      </c>
      <c r="C7" t="s">
        <v>264</v>
      </c>
      <c r="D7">
        <v>2021</v>
      </c>
      <c r="E7" t="s">
        <v>265</v>
      </c>
      <c r="F7" t="s">
        <v>263</v>
      </c>
      <c r="G7" s="17">
        <v>713510</v>
      </c>
      <c r="H7" s="19">
        <f t="shared" si="0"/>
        <v>8.7119658119658112</v>
      </c>
      <c r="I7" t="s">
        <v>53</v>
      </c>
      <c r="J7" t="s">
        <v>30</v>
      </c>
      <c r="K7" t="s">
        <v>978</v>
      </c>
      <c r="L7">
        <v>5910</v>
      </c>
      <c r="M7">
        <v>17700661</v>
      </c>
      <c r="N7" t="s">
        <v>611</v>
      </c>
      <c r="O7" t="s">
        <v>979</v>
      </c>
      <c r="P7" t="s">
        <v>980</v>
      </c>
      <c r="Q7" t="s">
        <v>980</v>
      </c>
      <c r="R7" t="s">
        <v>426</v>
      </c>
      <c r="S7" t="s">
        <v>981</v>
      </c>
      <c r="T7" t="s">
        <v>982</v>
      </c>
      <c r="U7" t="s">
        <v>983</v>
      </c>
      <c r="V7" t="s">
        <v>984</v>
      </c>
      <c r="W7" t="s">
        <v>490</v>
      </c>
      <c r="X7" t="s">
        <v>491</v>
      </c>
      <c r="Y7" t="s">
        <v>985</v>
      </c>
      <c r="Z7" t="s">
        <v>39</v>
      </c>
      <c r="AA7" t="s">
        <v>265</v>
      </c>
      <c r="AB7" t="s">
        <v>265</v>
      </c>
      <c r="AC7" t="s">
        <v>619</v>
      </c>
      <c r="AD7" t="s">
        <v>434</v>
      </c>
      <c r="AE7">
        <v>50795</v>
      </c>
      <c r="AF7" t="s">
        <v>585</v>
      </c>
      <c r="AG7" t="s">
        <v>426</v>
      </c>
      <c r="AH7" t="s">
        <v>634</v>
      </c>
      <c r="AI7">
        <v>7200000</v>
      </c>
      <c r="AJ7" t="s">
        <v>585</v>
      </c>
      <c r="AK7" t="s">
        <v>426</v>
      </c>
      <c r="AL7">
        <v>0</v>
      </c>
      <c r="AM7" t="s">
        <v>533</v>
      </c>
      <c r="AN7" t="s">
        <v>585</v>
      </c>
      <c r="AO7" t="s">
        <v>499</v>
      </c>
      <c r="AP7" t="s">
        <v>439</v>
      </c>
      <c r="AQ7" t="s">
        <v>426</v>
      </c>
      <c r="AR7">
        <v>71</v>
      </c>
      <c r="AS7">
        <v>0</v>
      </c>
      <c r="AT7">
        <v>0</v>
      </c>
      <c r="AU7">
        <v>-446490</v>
      </c>
      <c r="AV7">
        <v>7943510</v>
      </c>
      <c r="AW7">
        <v>7200000</v>
      </c>
      <c r="AX7">
        <v>743510</v>
      </c>
      <c r="AY7" t="s">
        <v>986</v>
      </c>
      <c r="AZ7">
        <v>0</v>
      </c>
      <c r="BA7">
        <v>246490</v>
      </c>
      <c r="BB7">
        <v>246490</v>
      </c>
      <c r="BC7">
        <v>0</v>
      </c>
      <c r="BD7" t="s">
        <v>441</v>
      </c>
      <c r="BE7">
        <v>0</v>
      </c>
      <c r="BF7">
        <v>0</v>
      </c>
      <c r="BG7">
        <v>0</v>
      </c>
      <c r="BH7">
        <v>0</v>
      </c>
      <c r="BI7" t="s">
        <v>441</v>
      </c>
      <c r="BJ7">
        <v>0</v>
      </c>
      <c r="BK7">
        <v>0</v>
      </c>
      <c r="BL7">
        <v>0</v>
      </c>
      <c r="BM7">
        <v>0</v>
      </c>
      <c r="BN7" t="s">
        <v>441</v>
      </c>
      <c r="BO7">
        <v>0</v>
      </c>
      <c r="BP7">
        <v>8190000</v>
      </c>
      <c r="BQ7">
        <v>7476490</v>
      </c>
      <c r="BR7">
        <v>713510</v>
      </c>
      <c r="BS7" t="s">
        <v>987</v>
      </c>
      <c r="BT7">
        <v>713510</v>
      </c>
      <c r="BU7" t="s">
        <v>987</v>
      </c>
      <c r="BV7">
        <v>0</v>
      </c>
      <c r="BW7">
        <v>0</v>
      </c>
      <c r="BX7">
        <v>8190000</v>
      </c>
      <c r="BY7">
        <v>0</v>
      </c>
      <c r="BZ7">
        <v>246490</v>
      </c>
      <c r="CA7">
        <v>0</v>
      </c>
      <c r="CB7">
        <v>8190000</v>
      </c>
      <c r="CC7">
        <v>8190000</v>
      </c>
      <c r="CD7" s="2">
        <v>713510</v>
      </c>
      <c r="CE7" t="s">
        <v>987</v>
      </c>
      <c r="CF7" t="s">
        <v>426</v>
      </c>
      <c r="CG7">
        <v>0</v>
      </c>
      <c r="CH7" t="s">
        <v>426</v>
      </c>
      <c r="CI7">
        <v>0</v>
      </c>
      <c r="CJ7">
        <v>0</v>
      </c>
      <c r="CK7">
        <v>30000</v>
      </c>
      <c r="CL7" t="s">
        <v>426</v>
      </c>
    </row>
    <row r="8" spans="1:90">
      <c r="A8" t="s">
        <v>6</v>
      </c>
      <c r="B8" t="s">
        <v>267</v>
      </c>
      <c r="C8" t="s">
        <v>268</v>
      </c>
      <c r="D8">
        <v>2022</v>
      </c>
      <c r="E8" t="s">
        <v>269</v>
      </c>
      <c r="F8" t="s">
        <v>266</v>
      </c>
      <c r="G8" s="17">
        <v>1566505</v>
      </c>
      <c r="H8" s="19">
        <f t="shared" si="0"/>
        <v>10.113008392511297</v>
      </c>
      <c r="I8" t="s">
        <v>53</v>
      </c>
      <c r="J8" t="s">
        <v>30</v>
      </c>
      <c r="K8" t="s">
        <v>988</v>
      </c>
      <c r="L8">
        <v>5921</v>
      </c>
      <c r="M8">
        <v>12486707</v>
      </c>
      <c r="N8" t="s">
        <v>989</v>
      </c>
      <c r="O8" t="s">
        <v>990</v>
      </c>
      <c r="P8" t="s">
        <v>991</v>
      </c>
      <c r="Q8" t="s">
        <v>991</v>
      </c>
      <c r="R8" t="s">
        <v>426</v>
      </c>
      <c r="S8" t="s">
        <v>614</v>
      </c>
      <c r="T8" t="s">
        <v>992</v>
      </c>
      <c r="U8" t="s">
        <v>993</v>
      </c>
      <c r="V8" t="s">
        <v>994</v>
      </c>
      <c r="W8" t="s">
        <v>430</v>
      </c>
      <c r="X8" t="s">
        <v>730</v>
      </c>
      <c r="Y8" t="s">
        <v>995</v>
      </c>
      <c r="Z8" t="s">
        <v>21</v>
      </c>
      <c r="AA8" t="s">
        <v>269</v>
      </c>
      <c r="AB8" t="s">
        <v>269</v>
      </c>
      <c r="AC8" t="s">
        <v>619</v>
      </c>
      <c r="AD8" t="s">
        <v>434</v>
      </c>
      <c r="AE8">
        <v>50805</v>
      </c>
      <c r="AF8" t="s">
        <v>585</v>
      </c>
      <c r="AG8" t="s">
        <v>426</v>
      </c>
      <c r="AH8" t="s">
        <v>634</v>
      </c>
      <c r="AI8">
        <v>13569155</v>
      </c>
      <c r="AJ8" t="s">
        <v>585</v>
      </c>
      <c r="AK8" t="s">
        <v>426</v>
      </c>
      <c r="AL8">
        <v>0</v>
      </c>
      <c r="AM8" t="s">
        <v>533</v>
      </c>
      <c r="AN8" t="s">
        <v>585</v>
      </c>
      <c r="AO8" t="s">
        <v>438</v>
      </c>
      <c r="AP8" t="s">
        <v>439</v>
      </c>
      <c r="AQ8" t="s">
        <v>426</v>
      </c>
      <c r="AR8">
        <v>29</v>
      </c>
      <c r="AS8">
        <v>0</v>
      </c>
      <c r="AT8">
        <v>0</v>
      </c>
      <c r="AU8">
        <v>-354340</v>
      </c>
      <c r="AV8">
        <v>15135660</v>
      </c>
      <c r="AW8">
        <v>13569155</v>
      </c>
      <c r="AX8">
        <v>1566505</v>
      </c>
      <c r="AY8" t="s">
        <v>996</v>
      </c>
      <c r="AZ8">
        <v>0</v>
      </c>
      <c r="BA8">
        <v>354340</v>
      </c>
      <c r="BB8">
        <v>354340</v>
      </c>
      <c r="BC8">
        <v>0</v>
      </c>
      <c r="BD8" t="s">
        <v>441</v>
      </c>
      <c r="BE8">
        <v>0</v>
      </c>
      <c r="BF8">
        <v>0</v>
      </c>
      <c r="BG8">
        <v>0</v>
      </c>
      <c r="BH8">
        <v>0</v>
      </c>
      <c r="BI8" t="s">
        <v>441</v>
      </c>
      <c r="BJ8">
        <v>0</v>
      </c>
      <c r="BK8">
        <v>0</v>
      </c>
      <c r="BL8">
        <v>0</v>
      </c>
      <c r="BM8">
        <v>0</v>
      </c>
      <c r="BN8" t="s">
        <v>441</v>
      </c>
      <c r="BO8">
        <v>0</v>
      </c>
      <c r="BP8">
        <v>15490000</v>
      </c>
      <c r="BQ8">
        <v>13923495</v>
      </c>
      <c r="BR8">
        <v>1566505</v>
      </c>
      <c r="BS8" t="s">
        <v>997</v>
      </c>
      <c r="BT8">
        <v>1566505</v>
      </c>
      <c r="BU8" t="s">
        <v>997</v>
      </c>
      <c r="BV8">
        <v>0</v>
      </c>
      <c r="BW8">
        <v>0</v>
      </c>
      <c r="BX8">
        <v>15490000</v>
      </c>
      <c r="BY8">
        <v>0</v>
      </c>
      <c r="BZ8">
        <v>354340</v>
      </c>
      <c r="CA8">
        <v>0</v>
      </c>
      <c r="CB8">
        <v>15490000</v>
      </c>
      <c r="CC8">
        <v>15490000</v>
      </c>
      <c r="CD8" s="2">
        <v>1566505</v>
      </c>
      <c r="CE8" t="s">
        <v>997</v>
      </c>
      <c r="CF8" t="s">
        <v>426</v>
      </c>
      <c r="CG8">
        <v>0</v>
      </c>
      <c r="CH8" t="s">
        <v>426</v>
      </c>
      <c r="CI8">
        <v>0</v>
      </c>
      <c r="CJ8">
        <v>0</v>
      </c>
      <c r="CK8">
        <v>0</v>
      </c>
      <c r="CL8" t="s">
        <v>426</v>
      </c>
    </row>
    <row r="9" spans="1:90">
      <c r="A9" t="s">
        <v>6</v>
      </c>
      <c r="B9" t="s">
        <v>29</v>
      </c>
      <c r="C9" t="s">
        <v>271</v>
      </c>
      <c r="D9">
        <v>2023</v>
      </c>
      <c r="E9" t="s">
        <v>272</v>
      </c>
      <c r="F9" t="s">
        <v>270</v>
      </c>
      <c r="G9" s="17">
        <v>3934630</v>
      </c>
      <c r="H9" s="19">
        <f t="shared" si="0"/>
        <v>26.248365577051366</v>
      </c>
      <c r="I9" t="s">
        <v>53</v>
      </c>
      <c r="J9" t="s">
        <v>30</v>
      </c>
      <c r="K9" t="s">
        <v>998</v>
      </c>
      <c r="L9">
        <v>5923</v>
      </c>
      <c r="M9">
        <v>19083401</v>
      </c>
      <c r="N9" t="s">
        <v>537</v>
      </c>
      <c r="O9" t="s">
        <v>999</v>
      </c>
      <c r="P9" t="s">
        <v>1000</v>
      </c>
      <c r="Q9" t="s">
        <v>1000</v>
      </c>
      <c r="R9" t="s">
        <v>426</v>
      </c>
      <c r="S9" t="s">
        <v>614</v>
      </c>
      <c r="T9" t="s">
        <v>1001</v>
      </c>
      <c r="U9" t="s">
        <v>1002</v>
      </c>
      <c r="V9" t="s">
        <v>1003</v>
      </c>
      <c r="W9" t="s">
        <v>430</v>
      </c>
      <c r="X9" t="s">
        <v>464</v>
      </c>
      <c r="Y9" t="s">
        <v>596</v>
      </c>
      <c r="Z9" t="s">
        <v>11</v>
      </c>
      <c r="AA9" t="s">
        <v>272</v>
      </c>
      <c r="AB9" t="s">
        <v>272</v>
      </c>
      <c r="AC9" t="s">
        <v>619</v>
      </c>
      <c r="AD9" t="s">
        <v>434</v>
      </c>
      <c r="AE9">
        <v>50806</v>
      </c>
      <c r="AF9" t="s">
        <v>585</v>
      </c>
      <c r="AG9" t="s">
        <v>426</v>
      </c>
      <c r="AH9" t="s">
        <v>965</v>
      </c>
      <c r="AI9">
        <v>10708530</v>
      </c>
      <c r="AJ9" t="s">
        <v>585</v>
      </c>
      <c r="AK9" t="s">
        <v>426</v>
      </c>
      <c r="AL9">
        <v>0</v>
      </c>
      <c r="AM9" t="s">
        <v>533</v>
      </c>
      <c r="AN9" t="s">
        <v>585</v>
      </c>
      <c r="AO9" t="s">
        <v>438</v>
      </c>
      <c r="AP9" t="s">
        <v>439</v>
      </c>
      <c r="AQ9" t="s">
        <v>426</v>
      </c>
      <c r="AR9">
        <v>17</v>
      </c>
      <c r="AS9">
        <v>0</v>
      </c>
      <c r="AT9">
        <v>0</v>
      </c>
      <c r="AU9">
        <v>-346840</v>
      </c>
      <c r="AV9">
        <v>14643160</v>
      </c>
      <c r="AW9">
        <v>10708530</v>
      </c>
      <c r="AX9">
        <v>3934630</v>
      </c>
      <c r="AY9" t="s">
        <v>1004</v>
      </c>
      <c r="AZ9">
        <v>0</v>
      </c>
      <c r="BA9">
        <v>346840</v>
      </c>
      <c r="BB9">
        <v>346840</v>
      </c>
      <c r="BC9">
        <v>0</v>
      </c>
      <c r="BD9" t="s">
        <v>441</v>
      </c>
      <c r="BE9">
        <v>0</v>
      </c>
      <c r="BF9">
        <v>0</v>
      </c>
      <c r="BG9">
        <v>0</v>
      </c>
      <c r="BH9">
        <v>0</v>
      </c>
      <c r="BI9" t="s">
        <v>441</v>
      </c>
      <c r="BJ9">
        <v>0</v>
      </c>
      <c r="BK9">
        <v>0</v>
      </c>
      <c r="BL9">
        <v>0</v>
      </c>
      <c r="BM9">
        <v>0</v>
      </c>
      <c r="BN9" t="s">
        <v>441</v>
      </c>
      <c r="BO9">
        <v>0</v>
      </c>
      <c r="BP9">
        <v>14990000</v>
      </c>
      <c r="BQ9">
        <v>11055370</v>
      </c>
      <c r="BR9">
        <v>3934630</v>
      </c>
      <c r="BS9" t="s">
        <v>1005</v>
      </c>
      <c r="BT9">
        <v>3934630</v>
      </c>
      <c r="BU9" t="s">
        <v>1005</v>
      </c>
      <c r="BV9">
        <v>0</v>
      </c>
      <c r="BW9">
        <v>0</v>
      </c>
      <c r="BX9">
        <v>14990000</v>
      </c>
      <c r="BY9">
        <v>0</v>
      </c>
      <c r="BZ9">
        <v>346840</v>
      </c>
      <c r="CA9">
        <v>0</v>
      </c>
      <c r="CB9">
        <v>15188625</v>
      </c>
      <c r="CC9">
        <v>14990000</v>
      </c>
      <c r="CD9" s="2">
        <v>3934630</v>
      </c>
      <c r="CE9" t="s">
        <v>1005</v>
      </c>
      <c r="CF9" t="s">
        <v>426</v>
      </c>
      <c r="CG9">
        <v>0</v>
      </c>
      <c r="CH9" t="s">
        <v>426</v>
      </c>
      <c r="CI9">
        <v>0</v>
      </c>
      <c r="CJ9">
        <v>0</v>
      </c>
      <c r="CK9">
        <v>0</v>
      </c>
      <c r="CL9" t="s">
        <v>426</v>
      </c>
    </row>
    <row r="10" spans="1:90">
      <c r="A10" t="s">
        <v>6</v>
      </c>
      <c r="B10" t="s">
        <v>20</v>
      </c>
      <c r="C10" t="s">
        <v>274</v>
      </c>
      <c r="D10">
        <v>2022</v>
      </c>
      <c r="E10" t="s">
        <v>275</v>
      </c>
      <c r="F10" t="s">
        <v>273</v>
      </c>
      <c r="G10" s="17">
        <v>1408000</v>
      </c>
      <c r="H10" s="19">
        <f t="shared" si="0"/>
        <v>9.5199459093982419</v>
      </c>
      <c r="I10" t="s">
        <v>53</v>
      </c>
      <c r="J10" t="s">
        <v>44</v>
      </c>
      <c r="K10" t="s">
        <v>1006</v>
      </c>
      <c r="L10">
        <v>5924</v>
      </c>
      <c r="M10">
        <v>10614054</v>
      </c>
      <c r="N10" t="s">
        <v>676</v>
      </c>
      <c r="O10" t="s">
        <v>1007</v>
      </c>
      <c r="P10" t="s">
        <v>1008</v>
      </c>
      <c r="Q10" t="s">
        <v>426</v>
      </c>
      <c r="R10" t="s">
        <v>426</v>
      </c>
      <c r="S10" t="s">
        <v>528</v>
      </c>
      <c r="T10" t="s">
        <v>1009</v>
      </c>
      <c r="U10" t="s">
        <v>1010</v>
      </c>
      <c r="V10" t="s">
        <v>1011</v>
      </c>
      <c r="W10" t="s">
        <v>430</v>
      </c>
      <c r="X10" t="s">
        <v>464</v>
      </c>
      <c r="Y10" t="s">
        <v>747</v>
      </c>
      <c r="Z10" t="s">
        <v>21</v>
      </c>
      <c r="AA10" t="s">
        <v>275</v>
      </c>
      <c r="AB10" t="s">
        <v>275</v>
      </c>
      <c r="AC10" t="s">
        <v>619</v>
      </c>
      <c r="AD10" t="s">
        <v>434</v>
      </c>
      <c r="AE10">
        <v>50803</v>
      </c>
      <c r="AF10" t="s">
        <v>585</v>
      </c>
      <c r="AG10" t="s">
        <v>426</v>
      </c>
      <c r="AH10" t="s">
        <v>1012</v>
      </c>
      <c r="AI10">
        <v>13000000</v>
      </c>
      <c r="AJ10" t="s">
        <v>587</v>
      </c>
      <c r="AK10" t="s">
        <v>426</v>
      </c>
      <c r="AL10">
        <v>0</v>
      </c>
      <c r="AM10" t="s">
        <v>437</v>
      </c>
      <c r="AN10" t="s">
        <v>587</v>
      </c>
      <c r="AO10" t="s">
        <v>481</v>
      </c>
      <c r="AP10" t="s">
        <v>439</v>
      </c>
      <c r="AQ10" t="s">
        <v>426</v>
      </c>
      <c r="AR10">
        <v>24</v>
      </c>
      <c r="AS10">
        <v>0</v>
      </c>
      <c r="AT10">
        <v>0</v>
      </c>
      <c r="AU10">
        <v>-382000</v>
      </c>
      <c r="AV10">
        <v>14408000</v>
      </c>
      <c r="AW10">
        <v>13000000</v>
      </c>
      <c r="AX10">
        <v>1408000</v>
      </c>
      <c r="AY10" t="s">
        <v>1013</v>
      </c>
      <c r="AZ10">
        <v>0</v>
      </c>
      <c r="BA10">
        <v>382000</v>
      </c>
      <c r="BB10">
        <v>382000</v>
      </c>
      <c r="BC10">
        <v>0</v>
      </c>
      <c r="BD10" t="s">
        <v>441</v>
      </c>
      <c r="BE10">
        <v>0</v>
      </c>
      <c r="BF10">
        <v>0</v>
      </c>
      <c r="BG10">
        <v>0</v>
      </c>
      <c r="BH10">
        <v>0</v>
      </c>
      <c r="BI10" t="s">
        <v>441</v>
      </c>
      <c r="BJ10">
        <v>0</v>
      </c>
      <c r="BK10">
        <v>0</v>
      </c>
      <c r="BL10">
        <v>0</v>
      </c>
      <c r="BM10">
        <v>0</v>
      </c>
      <c r="BN10" t="s">
        <v>441</v>
      </c>
      <c r="BO10">
        <v>0</v>
      </c>
      <c r="BP10">
        <v>14790000</v>
      </c>
      <c r="BQ10">
        <v>13382000</v>
      </c>
      <c r="BR10">
        <v>1408000</v>
      </c>
      <c r="BS10" t="s">
        <v>1014</v>
      </c>
      <c r="BT10">
        <v>1408000</v>
      </c>
      <c r="BU10" t="s">
        <v>1014</v>
      </c>
      <c r="BV10">
        <v>0</v>
      </c>
      <c r="BW10">
        <v>0</v>
      </c>
      <c r="BX10">
        <v>14790000</v>
      </c>
      <c r="BY10">
        <v>0</v>
      </c>
      <c r="BZ10">
        <v>382000</v>
      </c>
      <c r="CA10">
        <v>0</v>
      </c>
      <c r="CB10">
        <v>14825000</v>
      </c>
      <c r="CC10">
        <v>14790000</v>
      </c>
      <c r="CD10" s="2">
        <v>1408000</v>
      </c>
      <c r="CE10" t="s">
        <v>1014</v>
      </c>
      <c r="CF10" t="s">
        <v>426</v>
      </c>
      <c r="CG10">
        <v>0</v>
      </c>
      <c r="CH10" t="s">
        <v>426</v>
      </c>
      <c r="CI10">
        <v>0</v>
      </c>
      <c r="CJ10">
        <v>0</v>
      </c>
      <c r="CK10">
        <v>0</v>
      </c>
      <c r="CL10" t="s">
        <v>426</v>
      </c>
    </row>
    <row r="11" spans="1:90">
      <c r="A11" t="s">
        <v>277</v>
      </c>
      <c r="B11" t="s">
        <v>278</v>
      </c>
      <c r="C11" t="s">
        <v>279</v>
      </c>
      <c r="D11">
        <v>2020</v>
      </c>
      <c r="E11" t="s">
        <v>280</v>
      </c>
      <c r="F11" t="s">
        <v>276</v>
      </c>
      <c r="G11" s="17">
        <v>1794160</v>
      </c>
      <c r="H11" s="19">
        <f t="shared" si="0"/>
        <v>14.18308300395257</v>
      </c>
      <c r="I11" t="s">
        <v>53</v>
      </c>
      <c r="J11" t="s">
        <v>43</v>
      </c>
      <c r="K11" t="s">
        <v>1015</v>
      </c>
      <c r="L11">
        <v>5928</v>
      </c>
      <c r="M11">
        <v>17768585</v>
      </c>
      <c r="N11" t="s">
        <v>921</v>
      </c>
      <c r="O11" t="s">
        <v>1016</v>
      </c>
      <c r="P11" t="s">
        <v>426</v>
      </c>
      <c r="Q11" t="s">
        <v>1017</v>
      </c>
      <c r="R11" t="s">
        <v>426</v>
      </c>
      <c r="S11" t="s">
        <v>1018</v>
      </c>
      <c r="T11" t="s">
        <v>1019</v>
      </c>
      <c r="U11" t="s">
        <v>1020</v>
      </c>
      <c r="V11" t="s">
        <v>1021</v>
      </c>
      <c r="W11" t="s">
        <v>430</v>
      </c>
      <c r="X11" t="s">
        <v>1022</v>
      </c>
      <c r="Y11" t="s">
        <v>1023</v>
      </c>
      <c r="Z11" t="s">
        <v>35</v>
      </c>
      <c r="AA11" t="s">
        <v>280</v>
      </c>
      <c r="AB11" t="s">
        <v>280</v>
      </c>
      <c r="AC11" t="s">
        <v>619</v>
      </c>
      <c r="AD11" t="s">
        <v>434</v>
      </c>
      <c r="AE11">
        <v>50797</v>
      </c>
      <c r="AF11" t="s">
        <v>585</v>
      </c>
      <c r="AG11" t="s">
        <v>426</v>
      </c>
      <c r="AH11" t="s">
        <v>937</v>
      </c>
      <c r="AI11">
        <v>10500000</v>
      </c>
      <c r="AJ11" t="s">
        <v>585</v>
      </c>
      <c r="AK11" t="s">
        <v>426</v>
      </c>
      <c r="AL11">
        <v>0</v>
      </c>
      <c r="AM11" t="s">
        <v>975</v>
      </c>
      <c r="AN11" t="s">
        <v>585</v>
      </c>
      <c r="AO11" t="s">
        <v>481</v>
      </c>
      <c r="AP11" t="s">
        <v>439</v>
      </c>
      <c r="AQ11" t="s">
        <v>426</v>
      </c>
      <c r="AR11">
        <v>79</v>
      </c>
      <c r="AS11">
        <v>0</v>
      </c>
      <c r="AT11">
        <v>0</v>
      </c>
      <c r="AU11">
        <v>-695840</v>
      </c>
      <c r="AV11">
        <v>12294160</v>
      </c>
      <c r="AW11">
        <v>10500000</v>
      </c>
      <c r="AX11">
        <v>1794160</v>
      </c>
      <c r="AY11" t="s">
        <v>1024</v>
      </c>
      <c r="AZ11">
        <v>0</v>
      </c>
      <c r="BA11">
        <v>355840</v>
      </c>
      <c r="BB11">
        <v>355840</v>
      </c>
      <c r="BC11">
        <v>0</v>
      </c>
      <c r="BD11" t="s">
        <v>441</v>
      </c>
      <c r="BE11">
        <v>0</v>
      </c>
      <c r="BF11">
        <v>0</v>
      </c>
      <c r="BG11">
        <v>0</v>
      </c>
      <c r="BH11">
        <v>0</v>
      </c>
      <c r="BI11" t="s">
        <v>441</v>
      </c>
      <c r="BJ11">
        <v>0</v>
      </c>
      <c r="BK11">
        <v>0</v>
      </c>
      <c r="BL11">
        <v>0</v>
      </c>
      <c r="BM11">
        <v>0</v>
      </c>
      <c r="BN11" t="s">
        <v>441</v>
      </c>
      <c r="BO11">
        <v>0</v>
      </c>
      <c r="BP11">
        <v>12650000</v>
      </c>
      <c r="BQ11">
        <v>10855840</v>
      </c>
      <c r="BR11">
        <v>1794160</v>
      </c>
      <c r="BS11" t="s">
        <v>1025</v>
      </c>
      <c r="BT11">
        <v>1794160</v>
      </c>
      <c r="BU11" t="s">
        <v>1025</v>
      </c>
      <c r="BV11">
        <v>0</v>
      </c>
      <c r="BW11">
        <v>0</v>
      </c>
      <c r="BX11">
        <v>12650000</v>
      </c>
      <c r="BY11">
        <v>0</v>
      </c>
      <c r="BZ11">
        <v>355840</v>
      </c>
      <c r="CA11">
        <v>0</v>
      </c>
      <c r="CB11">
        <v>12650000</v>
      </c>
      <c r="CC11">
        <v>12650000</v>
      </c>
      <c r="CD11" s="2">
        <v>1794160</v>
      </c>
      <c r="CE11" t="s">
        <v>1025</v>
      </c>
      <c r="CF11" t="s">
        <v>426</v>
      </c>
      <c r="CG11">
        <v>0</v>
      </c>
      <c r="CH11" t="s">
        <v>426</v>
      </c>
      <c r="CI11">
        <v>0</v>
      </c>
      <c r="CJ11">
        <v>0</v>
      </c>
      <c r="CK11">
        <v>0</v>
      </c>
      <c r="CL11" t="s">
        <v>426</v>
      </c>
    </row>
    <row r="12" spans="1:90">
      <c r="A12" t="s">
        <v>256</v>
      </c>
      <c r="B12" t="s">
        <v>282</v>
      </c>
      <c r="C12" t="s">
        <v>283</v>
      </c>
      <c r="D12">
        <v>2022</v>
      </c>
      <c r="E12" t="s">
        <v>284</v>
      </c>
      <c r="F12" t="s">
        <v>281</v>
      </c>
      <c r="G12" s="17">
        <v>1416010</v>
      </c>
      <c r="H12" s="19">
        <f t="shared" si="0"/>
        <v>13.111203703703703</v>
      </c>
      <c r="I12" t="s">
        <v>53</v>
      </c>
      <c r="J12" t="s">
        <v>30</v>
      </c>
      <c r="K12" t="s">
        <v>1026</v>
      </c>
      <c r="L12">
        <v>5930</v>
      </c>
      <c r="M12">
        <v>22040901</v>
      </c>
      <c r="N12" t="s">
        <v>676</v>
      </c>
      <c r="O12" t="s">
        <v>1027</v>
      </c>
      <c r="P12" t="s">
        <v>1028</v>
      </c>
      <c r="Q12" t="s">
        <v>1028</v>
      </c>
      <c r="R12" t="s">
        <v>426</v>
      </c>
      <c r="S12" t="s">
        <v>719</v>
      </c>
      <c r="T12" t="s">
        <v>1029</v>
      </c>
      <c r="U12" t="s">
        <v>1030</v>
      </c>
      <c r="V12" t="s">
        <v>1031</v>
      </c>
      <c r="W12" t="s">
        <v>509</v>
      </c>
      <c r="X12" t="s">
        <v>256</v>
      </c>
      <c r="Y12" t="s">
        <v>1032</v>
      </c>
      <c r="Z12" t="s">
        <v>48</v>
      </c>
      <c r="AA12" t="s">
        <v>284</v>
      </c>
      <c r="AB12" t="s">
        <v>284</v>
      </c>
      <c r="AC12" t="s">
        <v>619</v>
      </c>
      <c r="AD12" t="s">
        <v>434</v>
      </c>
      <c r="AE12">
        <v>50796</v>
      </c>
      <c r="AF12" t="s">
        <v>585</v>
      </c>
      <c r="AG12" t="s">
        <v>426</v>
      </c>
      <c r="AH12" t="s">
        <v>937</v>
      </c>
      <c r="AI12">
        <v>9100000</v>
      </c>
      <c r="AJ12" t="s">
        <v>585</v>
      </c>
      <c r="AK12" t="s">
        <v>426</v>
      </c>
      <c r="AL12">
        <v>0</v>
      </c>
      <c r="AM12" t="s">
        <v>533</v>
      </c>
      <c r="AN12" t="s">
        <v>585</v>
      </c>
      <c r="AO12" t="s">
        <v>438</v>
      </c>
      <c r="AP12" t="s">
        <v>439</v>
      </c>
      <c r="AQ12" t="s">
        <v>426</v>
      </c>
      <c r="AR12">
        <v>24</v>
      </c>
      <c r="AS12">
        <v>0</v>
      </c>
      <c r="AT12">
        <v>0</v>
      </c>
      <c r="AU12">
        <v>-473990</v>
      </c>
      <c r="AV12">
        <v>10516010</v>
      </c>
      <c r="AW12">
        <v>9100000</v>
      </c>
      <c r="AX12">
        <v>1416010</v>
      </c>
      <c r="AY12" t="s">
        <v>1033</v>
      </c>
      <c r="AZ12">
        <v>0</v>
      </c>
      <c r="BA12">
        <v>283990</v>
      </c>
      <c r="BB12">
        <v>283990</v>
      </c>
      <c r="BC12">
        <v>0</v>
      </c>
      <c r="BD12" t="s">
        <v>441</v>
      </c>
      <c r="BE12">
        <v>0</v>
      </c>
      <c r="BF12">
        <v>0</v>
      </c>
      <c r="BG12">
        <v>0</v>
      </c>
      <c r="BH12">
        <v>0</v>
      </c>
      <c r="BI12" t="s">
        <v>441</v>
      </c>
      <c r="BJ12">
        <v>0</v>
      </c>
      <c r="BK12">
        <v>0</v>
      </c>
      <c r="BL12">
        <v>0</v>
      </c>
      <c r="BM12">
        <v>0</v>
      </c>
      <c r="BN12" t="s">
        <v>441</v>
      </c>
      <c r="BO12">
        <v>0</v>
      </c>
      <c r="BP12">
        <v>10800000</v>
      </c>
      <c r="BQ12">
        <v>9383990</v>
      </c>
      <c r="BR12">
        <v>1416010</v>
      </c>
      <c r="BS12" t="s">
        <v>1034</v>
      </c>
      <c r="BT12">
        <v>1416010</v>
      </c>
      <c r="BU12" t="s">
        <v>1034</v>
      </c>
      <c r="BV12">
        <v>0</v>
      </c>
      <c r="BW12">
        <v>0</v>
      </c>
      <c r="BX12">
        <v>10800000</v>
      </c>
      <c r="BY12">
        <v>0</v>
      </c>
      <c r="BZ12">
        <v>283990</v>
      </c>
      <c r="CA12">
        <v>0</v>
      </c>
      <c r="CB12">
        <v>10800000</v>
      </c>
      <c r="CC12">
        <v>10800000</v>
      </c>
      <c r="CD12" s="2">
        <v>1416010</v>
      </c>
      <c r="CE12" t="s">
        <v>1034</v>
      </c>
      <c r="CF12" t="s">
        <v>426</v>
      </c>
      <c r="CG12">
        <v>0</v>
      </c>
      <c r="CH12" t="s">
        <v>426</v>
      </c>
      <c r="CI12">
        <v>0</v>
      </c>
      <c r="CJ12">
        <v>0</v>
      </c>
      <c r="CK12">
        <v>0</v>
      </c>
      <c r="CL12" t="s">
        <v>426</v>
      </c>
    </row>
    <row r="13" spans="1:90">
      <c r="A13" t="s">
        <v>6</v>
      </c>
      <c r="B13" t="s">
        <v>29</v>
      </c>
      <c r="C13" t="s">
        <v>234</v>
      </c>
      <c r="D13">
        <v>2023</v>
      </c>
      <c r="E13" t="s">
        <v>235</v>
      </c>
      <c r="F13" t="s">
        <v>233</v>
      </c>
      <c r="G13" s="17">
        <v>817183</v>
      </c>
      <c r="H13" s="19">
        <f t="shared" si="0"/>
        <v>5.341065359477124</v>
      </c>
      <c r="I13" t="s">
        <v>53</v>
      </c>
      <c r="J13" t="s">
        <v>55</v>
      </c>
      <c r="K13" t="s">
        <v>1035</v>
      </c>
      <c r="L13">
        <v>5932</v>
      </c>
      <c r="M13">
        <v>12721422</v>
      </c>
      <c r="N13" t="s">
        <v>611</v>
      </c>
      <c r="O13" t="s">
        <v>1036</v>
      </c>
      <c r="P13" t="s">
        <v>426</v>
      </c>
      <c r="Q13" t="s">
        <v>1037</v>
      </c>
      <c r="R13" t="s">
        <v>426</v>
      </c>
      <c r="S13" t="s">
        <v>488</v>
      </c>
      <c r="T13" t="s">
        <v>1038</v>
      </c>
      <c r="U13" t="s">
        <v>1039</v>
      </c>
      <c r="V13" t="s">
        <v>1040</v>
      </c>
      <c r="W13" t="s">
        <v>430</v>
      </c>
      <c r="X13" t="s">
        <v>464</v>
      </c>
      <c r="Y13" t="s">
        <v>477</v>
      </c>
      <c r="Z13" t="s">
        <v>51</v>
      </c>
      <c r="AA13" t="s">
        <v>235</v>
      </c>
      <c r="AB13" t="s">
        <v>235</v>
      </c>
      <c r="AC13" t="s">
        <v>619</v>
      </c>
      <c r="AD13" t="s">
        <v>434</v>
      </c>
      <c r="AE13">
        <v>50809</v>
      </c>
      <c r="AF13" t="s">
        <v>703</v>
      </c>
      <c r="AG13" t="s">
        <v>426</v>
      </c>
      <c r="AH13" t="s">
        <v>634</v>
      </c>
      <c r="AI13">
        <v>14092337</v>
      </c>
      <c r="AJ13" t="s">
        <v>703</v>
      </c>
      <c r="AK13" t="s">
        <v>426</v>
      </c>
      <c r="AL13">
        <v>0</v>
      </c>
      <c r="AM13" t="s">
        <v>565</v>
      </c>
      <c r="AN13" t="s">
        <v>703</v>
      </c>
      <c r="AO13" t="s">
        <v>438</v>
      </c>
      <c r="AP13" t="s">
        <v>439</v>
      </c>
      <c r="AQ13" t="s">
        <v>426</v>
      </c>
      <c r="AR13">
        <v>86</v>
      </c>
      <c r="AS13">
        <v>0</v>
      </c>
      <c r="AT13">
        <v>0</v>
      </c>
      <c r="AU13">
        <v>-580480</v>
      </c>
      <c r="AV13">
        <v>14909520</v>
      </c>
      <c r="AW13">
        <v>14092337</v>
      </c>
      <c r="AX13">
        <v>817183</v>
      </c>
      <c r="AY13" t="s">
        <v>1041</v>
      </c>
      <c r="AZ13">
        <v>0</v>
      </c>
      <c r="BA13">
        <v>390480</v>
      </c>
      <c r="BB13">
        <v>390480</v>
      </c>
      <c r="BC13">
        <v>0</v>
      </c>
      <c r="BD13" t="s">
        <v>441</v>
      </c>
      <c r="BE13">
        <v>0</v>
      </c>
      <c r="BF13">
        <v>0</v>
      </c>
      <c r="BG13">
        <v>0</v>
      </c>
      <c r="BH13">
        <v>0</v>
      </c>
      <c r="BI13" t="s">
        <v>441</v>
      </c>
      <c r="BJ13">
        <v>0</v>
      </c>
      <c r="BK13">
        <v>0</v>
      </c>
      <c r="BL13">
        <v>0</v>
      </c>
      <c r="BM13">
        <v>0</v>
      </c>
      <c r="BN13" t="s">
        <v>441</v>
      </c>
      <c r="BO13">
        <v>0</v>
      </c>
      <c r="BP13">
        <v>15300000</v>
      </c>
      <c r="BQ13">
        <v>14482817</v>
      </c>
      <c r="BR13">
        <v>817183</v>
      </c>
      <c r="BS13" t="s">
        <v>1042</v>
      </c>
      <c r="BT13">
        <v>817183</v>
      </c>
      <c r="BU13" t="s">
        <v>1042</v>
      </c>
      <c r="BV13">
        <v>0</v>
      </c>
      <c r="BW13">
        <v>0</v>
      </c>
      <c r="BX13">
        <v>15300000</v>
      </c>
      <c r="BY13">
        <v>0</v>
      </c>
      <c r="BZ13">
        <v>390480</v>
      </c>
      <c r="CA13">
        <v>0</v>
      </c>
      <c r="CB13">
        <v>15680428</v>
      </c>
      <c r="CC13">
        <v>15300000</v>
      </c>
      <c r="CD13" s="2">
        <v>817183</v>
      </c>
      <c r="CE13" t="s">
        <v>1042</v>
      </c>
      <c r="CF13" t="s">
        <v>426</v>
      </c>
      <c r="CG13">
        <v>0</v>
      </c>
      <c r="CH13" t="s">
        <v>426</v>
      </c>
      <c r="CI13">
        <v>0</v>
      </c>
      <c r="CJ13">
        <v>0</v>
      </c>
      <c r="CK13">
        <v>0</v>
      </c>
      <c r="CL13" t="s">
        <v>426</v>
      </c>
    </row>
    <row r="14" spans="1:90">
      <c r="A14" t="s">
        <v>6</v>
      </c>
      <c r="B14" t="s">
        <v>237</v>
      </c>
      <c r="C14" t="s">
        <v>239</v>
      </c>
      <c r="D14">
        <v>2025</v>
      </c>
      <c r="E14" t="s">
        <v>240</v>
      </c>
      <c r="F14" t="s">
        <v>236</v>
      </c>
      <c r="G14" s="17">
        <v>3146285</v>
      </c>
      <c r="H14" s="19">
        <f t="shared" si="0"/>
        <v>11.509619044535739</v>
      </c>
      <c r="I14" t="s">
        <v>53</v>
      </c>
      <c r="J14" t="s">
        <v>5</v>
      </c>
      <c r="K14" t="s">
        <v>1043</v>
      </c>
      <c r="L14">
        <v>5935</v>
      </c>
      <c r="M14">
        <v>15469672</v>
      </c>
      <c r="N14" t="s">
        <v>676</v>
      </c>
      <c r="O14" t="s">
        <v>1044</v>
      </c>
      <c r="P14" t="s">
        <v>1045</v>
      </c>
      <c r="Q14" t="s">
        <v>426</v>
      </c>
      <c r="R14" t="s">
        <v>426</v>
      </c>
      <c r="S14" t="s">
        <v>549</v>
      </c>
      <c r="T14" t="s">
        <v>1046</v>
      </c>
      <c r="U14" t="s">
        <v>1047</v>
      </c>
      <c r="V14" t="s">
        <v>1048</v>
      </c>
      <c r="W14" t="s">
        <v>509</v>
      </c>
      <c r="X14" t="s">
        <v>464</v>
      </c>
      <c r="Y14" t="s">
        <v>1049</v>
      </c>
      <c r="Z14" t="s">
        <v>238</v>
      </c>
      <c r="AA14" t="s">
        <v>240</v>
      </c>
      <c r="AB14" t="s">
        <v>240</v>
      </c>
      <c r="AC14" t="s">
        <v>619</v>
      </c>
      <c r="AD14" t="s">
        <v>584</v>
      </c>
      <c r="AE14">
        <v>50793</v>
      </c>
      <c r="AF14" t="s">
        <v>828</v>
      </c>
      <c r="AG14" t="s">
        <v>426</v>
      </c>
      <c r="AH14" t="s">
        <v>937</v>
      </c>
      <c r="AI14">
        <v>23359950</v>
      </c>
      <c r="AJ14" t="s">
        <v>828</v>
      </c>
      <c r="AK14" t="s">
        <v>426</v>
      </c>
      <c r="AL14">
        <v>0</v>
      </c>
      <c r="AM14" t="s">
        <v>437</v>
      </c>
      <c r="AN14" t="s">
        <v>828</v>
      </c>
      <c r="AO14" t="s">
        <v>438</v>
      </c>
      <c r="AP14" t="s">
        <v>439</v>
      </c>
      <c r="AQ14" t="s">
        <v>1050</v>
      </c>
      <c r="AR14">
        <v>94</v>
      </c>
      <c r="AS14">
        <v>0</v>
      </c>
      <c r="AT14">
        <v>-260420</v>
      </c>
      <c r="AU14">
        <v>0</v>
      </c>
      <c r="AV14">
        <v>26180100</v>
      </c>
      <c r="AW14">
        <v>23359950</v>
      </c>
      <c r="AX14">
        <v>2820150</v>
      </c>
      <c r="AY14" t="s">
        <v>1051</v>
      </c>
      <c r="AZ14">
        <v>0</v>
      </c>
      <c r="BA14">
        <v>819900</v>
      </c>
      <c r="BB14">
        <v>819900</v>
      </c>
      <c r="BC14">
        <v>0</v>
      </c>
      <c r="BD14" t="s">
        <v>441</v>
      </c>
      <c r="BE14">
        <v>240000</v>
      </c>
      <c r="BF14">
        <v>336135</v>
      </c>
      <c r="BG14">
        <v>0</v>
      </c>
      <c r="BH14">
        <v>0</v>
      </c>
      <c r="BI14" t="s">
        <v>441</v>
      </c>
      <c r="BJ14">
        <v>0</v>
      </c>
      <c r="BK14">
        <v>0</v>
      </c>
      <c r="BL14">
        <v>0</v>
      </c>
      <c r="BM14">
        <v>0</v>
      </c>
      <c r="BN14" t="s">
        <v>441</v>
      </c>
      <c r="BO14">
        <v>-260420</v>
      </c>
      <c r="BP14">
        <v>27336135</v>
      </c>
      <c r="BQ14">
        <v>24189850</v>
      </c>
      <c r="BR14">
        <v>3146285</v>
      </c>
      <c r="BS14" t="s">
        <v>1052</v>
      </c>
      <c r="BT14">
        <v>3146285</v>
      </c>
      <c r="BU14" t="s">
        <v>1052</v>
      </c>
      <c r="BV14">
        <v>0</v>
      </c>
      <c r="BW14">
        <v>8500000</v>
      </c>
      <c r="BX14">
        <v>18900000</v>
      </c>
      <c r="BY14">
        <v>0</v>
      </c>
      <c r="BZ14">
        <v>819900</v>
      </c>
      <c r="CA14">
        <v>336134</v>
      </c>
      <c r="CB14">
        <v>27160000</v>
      </c>
      <c r="CC14">
        <v>27336135</v>
      </c>
      <c r="CD14" s="2">
        <v>3146285</v>
      </c>
      <c r="CE14" t="s">
        <v>1052</v>
      </c>
      <c r="CF14" t="s">
        <v>426</v>
      </c>
      <c r="CG14">
        <v>0</v>
      </c>
      <c r="CH14" t="s">
        <v>426</v>
      </c>
      <c r="CI14">
        <v>0</v>
      </c>
      <c r="CJ14">
        <v>0</v>
      </c>
      <c r="CK14">
        <v>10000</v>
      </c>
      <c r="CL14" t="s">
        <v>426</v>
      </c>
    </row>
    <row r="15" spans="1:90">
      <c r="A15" t="s">
        <v>6</v>
      </c>
      <c r="B15" t="s">
        <v>242</v>
      </c>
      <c r="C15" t="s">
        <v>243</v>
      </c>
      <c r="D15">
        <v>2020</v>
      </c>
      <c r="E15" t="s">
        <v>244</v>
      </c>
      <c r="F15" t="s">
        <v>241</v>
      </c>
      <c r="G15" s="17">
        <v>2290738</v>
      </c>
      <c r="H15" s="19">
        <f t="shared" si="0"/>
        <v>9.7615331152397466</v>
      </c>
      <c r="I15" t="s">
        <v>53</v>
      </c>
      <c r="J15" t="s">
        <v>30</v>
      </c>
      <c r="K15" t="s">
        <v>1053</v>
      </c>
      <c r="L15">
        <v>5936</v>
      </c>
      <c r="M15">
        <v>16100242</v>
      </c>
      <c r="N15" t="s">
        <v>760</v>
      </c>
      <c r="O15" t="s">
        <v>1054</v>
      </c>
      <c r="P15" t="s">
        <v>1055</v>
      </c>
      <c r="Q15" t="s">
        <v>1055</v>
      </c>
      <c r="R15" t="s">
        <v>426</v>
      </c>
      <c r="S15" t="s">
        <v>1056</v>
      </c>
      <c r="T15" t="s">
        <v>1057</v>
      </c>
      <c r="U15" t="s">
        <v>1058</v>
      </c>
      <c r="V15" t="s">
        <v>1059</v>
      </c>
      <c r="W15" t="s">
        <v>463</v>
      </c>
      <c r="X15" t="s">
        <v>464</v>
      </c>
      <c r="Y15" t="s">
        <v>1060</v>
      </c>
      <c r="Z15" t="s">
        <v>39</v>
      </c>
      <c r="AA15" t="s">
        <v>244</v>
      </c>
      <c r="AB15" t="s">
        <v>244</v>
      </c>
      <c r="AC15" t="s">
        <v>619</v>
      </c>
      <c r="AD15" t="s">
        <v>434</v>
      </c>
      <c r="AE15">
        <v>50801</v>
      </c>
      <c r="AF15" t="s">
        <v>585</v>
      </c>
      <c r="AG15" t="s">
        <v>426</v>
      </c>
      <c r="AH15" t="s">
        <v>965</v>
      </c>
      <c r="AI15">
        <v>20000000</v>
      </c>
      <c r="AJ15" t="s">
        <v>585</v>
      </c>
      <c r="AK15" t="s">
        <v>426</v>
      </c>
      <c r="AL15">
        <v>0</v>
      </c>
      <c r="AM15" t="s">
        <v>533</v>
      </c>
      <c r="AN15" t="s">
        <v>585</v>
      </c>
      <c r="AO15" t="s">
        <v>438</v>
      </c>
      <c r="AP15" t="s">
        <v>439</v>
      </c>
      <c r="AQ15" t="s">
        <v>426</v>
      </c>
      <c r="AR15">
        <v>88</v>
      </c>
      <c r="AS15">
        <v>0</v>
      </c>
      <c r="AT15">
        <v>0</v>
      </c>
      <c r="AU15">
        <v>-475000</v>
      </c>
      <c r="AV15">
        <v>23015000</v>
      </c>
      <c r="AW15">
        <v>20000000</v>
      </c>
      <c r="AX15">
        <v>3015000</v>
      </c>
      <c r="AY15" t="s">
        <v>1061</v>
      </c>
      <c r="AZ15">
        <v>0</v>
      </c>
      <c r="BA15">
        <v>451990</v>
      </c>
      <c r="BB15">
        <v>451990</v>
      </c>
      <c r="BC15">
        <v>0</v>
      </c>
      <c r="BD15" t="s">
        <v>441</v>
      </c>
      <c r="BE15">
        <v>0</v>
      </c>
      <c r="BF15">
        <v>0</v>
      </c>
      <c r="BG15">
        <v>0</v>
      </c>
      <c r="BH15">
        <v>0</v>
      </c>
      <c r="BI15" t="s">
        <v>441</v>
      </c>
      <c r="BJ15">
        <v>0</v>
      </c>
      <c r="BK15">
        <v>0</v>
      </c>
      <c r="BL15">
        <v>0</v>
      </c>
      <c r="BM15">
        <v>0</v>
      </c>
      <c r="BN15" t="s">
        <v>441</v>
      </c>
      <c r="BO15">
        <v>0</v>
      </c>
      <c r="BP15">
        <v>23466990</v>
      </c>
      <c r="BQ15">
        <v>21176252</v>
      </c>
      <c r="BR15">
        <v>2290738</v>
      </c>
      <c r="BS15" t="s">
        <v>1062</v>
      </c>
      <c r="BT15">
        <v>2290738</v>
      </c>
      <c r="BU15" t="s">
        <v>1062</v>
      </c>
      <c r="BV15">
        <v>0</v>
      </c>
      <c r="BW15">
        <v>0</v>
      </c>
      <c r="BX15">
        <v>23466990</v>
      </c>
      <c r="BY15">
        <v>0</v>
      </c>
      <c r="BZ15">
        <v>451990</v>
      </c>
      <c r="CA15">
        <v>0</v>
      </c>
      <c r="CB15">
        <v>23466990</v>
      </c>
      <c r="CC15">
        <v>23466990</v>
      </c>
      <c r="CD15" s="2">
        <v>2290738</v>
      </c>
      <c r="CE15" t="s">
        <v>1062</v>
      </c>
      <c r="CF15" t="s">
        <v>426</v>
      </c>
      <c r="CG15">
        <v>0</v>
      </c>
      <c r="CH15" t="s">
        <v>426</v>
      </c>
      <c r="CI15">
        <v>0</v>
      </c>
      <c r="CJ15">
        <v>0</v>
      </c>
      <c r="CK15">
        <v>724262</v>
      </c>
      <c r="CL15" t="s">
        <v>426</v>
      </c>
    </row>
    <row r="16" spans="1:90">
      <c r="A16" t="s">
        <v>61</v>
      </c>
      <c r="B16" t="s">
        <v>226</v>
      </c>
      <c r="C16" t="s">
        <v>227</v>
      </c>
      <c r="D16">
        <v>2017</v>
      </c>
      <c r="E16" t="s">
        <v>228</v>
      </c>
      <c r="F16" t="s">
        <v>225</v>
      </c>
      <c r="G16" s="17">
        <v>1643283</v>
      </c>
      <c r="H16" s="19">
        <f t="shared" si="0"/>
        <v>10.270518750000001</v>
      </c>
      <c r="I16" t="s">
        <v>53</v>
      </c>
      <c r="J16" t="s">
        <v>30</v>
      </c>
      <c r="K16" t="s">
        <v>1063</v>
      </c>
      <c r="L16">
        <v>5941</v>
      </c>
      <c r="M16">
        <v>77604756</v>
      </c>
      <c r="N16" t="s">
        <v>921</v>
      </c>
      <c r="O16" t="s">
        <v>1064</v>
      </c>
      <c r="P16" t="s">
        <v>1065</v>
      </c>
      <c r="Q16" t="s">
        <v>1065</v>
      </c>
      <c r="R16" t="s">
        <v>426</v>
      </c>
      <c r="S16" t="s">
        <v>719</v>
      </c>
      <c r="T16" t="s">
        <v>475</v>
      </c>
      <c r="U16" t="s">
        <v>1066</v>
      </c>
      <c r="V16" t="s">
        <v>1067</v>
      </c>
      <c r="W16" t="s">
        <v>463</v>
      </c>
      <c r="X16" t="s">
        <v>1068</v>
      </c>
      <c r="Y16" t="s">
        <v>1069</v>
      </c>
      <c r="Z16" t="s">
        <v>39</v>
      </c>
      <c r="AA16" t="s">
        <v>228</v>
      </c>
      <c r="AB16" t="s">
        <v>228</v>
      </c>
      <c r="AC16" t="s">
        <v>619</v>
      </c>
      <c r="AD16" t="s">
        <v>434</v>
      </c>
      <c r="AE16">
        <v>50804</v>
      </c>
      <c r="AF16" t="s">
        <v>585</v>
      </c>
      <c r="AG16" t="s">
        <v>426</v>
      </c>
      <c r="AH16" t="s">
        <v>937</v>
      </c>
      <c r="AI16">
        <v>13500000</v>
      </c>
      <c r="AJ16" t="s">
        <v>585</v>
      </c>
      <c r="AK16" t="s">
        <v>426</v>
      </c>
      <c r="AL16">
        <v>0</v>
      </c>
      <c r="AM16" t="s">
        <v>533</v>
      </c>
      <c r="AN16" t="s">
        <v>585</v>
      </c>
      <c r="AO16" t="s">
        <v>499</v>
      </c>
      <c r="AP16" t="s">
        <v>439</v>
      </c>
      <c r="AQ16" t="s">
        <v>426</v>
      </c>
      <c r="AR16">
        <v>71</v>
      </c>
      <c r="AS16">
        <v>0</v>
      </c>
      <c r="AT16">
        <v>0</v>
      </c>
      <c r="AU16">
        <v>-951990</v>
      </c>
      <c r="AV16">
        <v>15638010</v>
      </c>
      <c r="AW16">
        <v>13500000</v>
      </c>
      <c r="AX16">
        <v>2138010</v>
      </c>
      <c r="AY16" t="s">
        <v>949</v>
      </c>
      <c r="AZ16">
        <v>0</v>
      </c>
      <c r="BA16">
        <v>361990</v>
      </c>
      <c r="BB16">
        <v>361990</v>
      </c>
      <c r="BC16">
        <v>0</v>
      </c>
      <c r="BD16" t="s">
        <v>441</v>
      </c>
      <c r="BE16">
        <v>0</v>
      </c>
      <c r="BF16">
        <v>0</v>
      </c>
      <c r="BG16">
        <v>0</v>
      </c>
      <c r="BH16">
        <v>0</v>
      </c>
      <c r="BI16" t="s">
        <v>441</v>
      </c>
      <c r="BJ16">
        <v>0</v>
      </c>
      <c r="BK16">
        <v>0</v>
      </c>
      <c r="BL16">
        <v>0</v>
      </c>
      <c r="BM16">
        <v>0</v>
      </c>
      <c r="BN16" t="s">
        <v>441</v>
      </c>
      <c r="BO16">
        <v>0</v>
      </c>
      <c r="BP16">
        <v>16000000</v>
      </c>
      <c r="BQ16">
        <v>14356717</v>
      </c>
      <c r="BR16">
        <v>1643283</v>
      </c>
      <c r="BS16" t="s">
        <v>1070</v>
      </c>
      <c r="BT16">
        <v>1643283</v>
      </c>
      <c r="BU16" t="s">
        <v>1070</v>
      </c>
      <c r="BV16">
        <v>0</v>
      </c>
      <c r="BW16">
        <v>0</v>
      </c>
      <c r="BX16">
        <v>16000000</v>
      </c>
      <c r="BY16">
        <v>0</v>
      </c>
      <c r="BZ16">
        <v>361990</v>
      </c>
      <c r="CA16">
        <v>0</v>
      </c>
      <c r="CB16">
        <v>16000000</v>
      </c>
      <c r="CC16">
        <v>16000000</v>
      </c>
      <c r="CD16" s="2">
        <v>1643283</v>
      </c>
      <c r="CE16" t="s">
        <v>1070</v>
      </c>
      <c r="CF16" t="s">
        <v>426</v>
      </c>
      <c r="CG16">
        <v>0</v>
      </c>
      <c r="CH16" t="s">
        <v>426</v>
      </c>
      <c r="CI16">
        <v>0</v>
      </c>
      <c r="CJ16">
        <v>0</v>
      </c>
      <c r="CK16">
        <v>494727</v>
      </c>
      <c r="CL16" t="s">
        <v>426</v>
      </c>
    </row>
    <row r="17" spans="1:90">
      <c r="A17" t="s">
        <v>6</v>
      </c>
      <c r="B17" t="s">
        <v>230</v>
      </c>
      <c r="C17" t="s">
        <v>231</v>
      </c>
      <c r="D17">
        <v>2021</v>
      </c>
      <c r="E17" t="s">
        <v>232</v>
      </c>
      <c r="F17" t="s">
        <v>229</v>
      </c>
      <c r="G17" s="17">
        <v>537920</v>
      </c>
      <c r="H17" s="19">
        <f t="shared" si="0"/>
        <v>7.6955650929899857</v>
      </c>
      <c r="I17" t="s">
        <v>53</v>
      </c>
      <c r="J17" t="s">
        <v>55</v>
      </c>
      <c r="K17" t="s">
        <v>1071</v>
      </c>
      <c r="L17">
        <v>5944</v>
      </c>
      <c r="M17">
        <v>20445310</v>
      </c>
      <c r="N17" t="s">
        <v>503</v>
      </c>
      <c r="O17" t="s">
        <v>1072</v>
      </c>
      <c r="P17" t="s">
        <v>426</v>
      </c>
      <c r="Q17" t="s">
        <v>1073</v>
      </c>
      <c r="R17" t="s">
        <v>426</v>
      </c>
      <c r="S17" t="s">
        <v>447</v>
      </c>
      <c r="T17" t="s">
        <v>1074</v>
      </c>
      <c r="U17" t="s">
        <v>1075</v>
      </c>
      <c r="V17" t="s">
        <v>1076</v>
      </c>
      <c r="W17" t="s">
        <v>509</v>
      </c>
      <c r="X17" t="s">
        <v>617</v>
      </c>
      <c r="Y17" t="s">
        <v>1077</v>
      </c>
      <c r="Z17" t="s">
        <v>7</v>
      </c>
      <c r="AA17" t="s">
        <v>232</v>
      </c>
      <c r="AB17" t="s">
        <v>232</v>
      </c>
      <c r="AC17" t="s">
        <v>619</v>
      </c>
      <c r="AD17" t="s">
        <v>434</v>
      </c>
      <c r="AE17">
        <v>50807</v>
      </c>
      <c r="AF17" t="s">
        <v>703</v>
      </c>
      <c r="AG17" t="s">
        <v>426</v>
      </c>
      <c r="AH17" t="s">
        <v>1012</v>
      </c>
      <c r="AI17">
        <v>6186080</v>
      </c>
      <c r="AJ17" t="s">
        <v>705</v>
      </c>
      <c r="AK17" t="s">
        <v>426</v>
      </c>
      <c r="AL17">
        <v>0</v>
      </c>
      <c r="AM17" t="s">
        <v>565</v>
      </c>
      <c r="AN17" t="s">
        <v>705</v>
      </c>
      <c r="AO17" t="s">
        <v>438</v>
      </c>
      <c r="AP17" t="s">
        <v>439</v>
      </c>
      <c r="AQ17" t="s">
        <v>426</v>
      </c>
      <c r="AR17">
        <v>104</v>
      </c>
      <c r="AS17">
        <v>0</v>
      </c>
      <c r="AT17">
        <v>0</v>
      </c>
      <c r="AU17">
        <v>-266000</v>
      </c>
      <c r="AV17">
        <v>6724000</v>
      </c>
      <c r="AW17">
        <v>6186080</v>
      </c>
      <c r="AX17">
        <v>537920</v>
      </c>
      <c r="AY17" t="s">
        <v>1078</v>
      </c>
      <c r="AZ17">
        <v>0</v>
      </c>
      <c r="BA17">
        <v>266000</v>
      </c>
      <c r="BB17">
        <v>266000</v>
      </c>
      <c r="BC17">
        <v>0</v>
      </c>
      <c r="BD17" t="s">
        <v>441</v>
      </c>
      <c r="BE17">
        <v>0</v>
      </c>
      <c r="BF17">
        <v>0</v>
      </c>
      <c r="BG17">
        <v>0</v>
      </c>
      <c r="BH17">
        <v>0</v>
      </c>
      <c r="BI17" t="s">
        <v>441</v>
      </c>
      <c r="BJ17">
        <v>0</v>
      </c>
      <c r="BK17">
        <v>0</v>
      </c>
      <c r="BL17">
        <v>0</v>
      </c>
      <c r="BM17">
        <v>0</v>
      </c>
      <c r="BN17" t="s">
        <v>441</v>
      </c>
      <c r="BO17">
        <v>0</v>
      </c>
      <c r="BP17">
        <v>6990000</v>
      </c>
      <c r="BQ17">
        <v>6452080</v>
      </c>
      <c r="BR17">
        <v>537920</v>
      </c>
      <c r="BS17" t="s">
        <v>1079</v>
      </c>
      <c r="BT17">
        <v>537920</v>
      </c>
      <c r="BU17" t="s">
        <v>1079</v>
      </c>
      <c r="BV17">
        <v>0</v>
      </c>
      <c r="BW17">
        <v>0</v>
      </c>
      <c r="BX17">
        <v>6990000</v>
      </c>
      <c r="BY17">
        <v>0</v>
      </c>
      <c r="BZ17">
        <v>266000</v>
      </c>
      <c r="CA17">
        <v>0</v>
      </c>
      <c r="CB17">
        <v>6990000</v>
      </c>
      <c r="CC17">
        <v>6990000</v>
      </c>
      <c r="CD17" s="2">
        <v>537920</v>
      </c>
      <c r="CE17" t="s">
        <v>1079</v>
      </c>
      <c r="CF17" t="s">
        <v>426</v>
      </c>
      <c r="CG17">
        <v>0</v>
      </c>
      <c r="CH17" t="s">
        <v>426</v>
      </c>
      <c r="CI17">
        <v>0</v>
      </c>
      <c r="CJ17">
        <v>0</v>
      </c>
      <c r="CK17">
        <v>0</v>
      </c>
      <c r="CL17" t="s">
        <v>426</v>
      </c>
    </row>
    <row r="18" spans="1:90">
      <c r="A18" t="s">
        <v>6</v>
      </c>
      <c r="B18" t="s">
        <v>286</v>
      </c>
      <c r="C18" t="s">
        <v>287</v>
      </c>
      <c r="D18">
        <v>2021</v>
      </c>
      <c r="E18" t="s">
        <v>288</v>
      </c>
      <c r="F18" t="s">
        <v>285</v>
      </c>
      <c r="G18" s="17">
        <v>1250000</v>
      </c>
      <c r="H18" s="19">
        <f t="shared" si="0"/>
        <v>12.122998977788725</v>
      </c>
      <c r="I18" t="s">
        <v>53</v>
      </c>
      <c r="J18" t="s">
        <v>33</v>
      </c>
      <c r="K18" t="s">
        <v>1080</v>
      </c>
      <c r="L18">
        <v>5953</v>
      </c>
      <c r="M18">
        <v>16406388</v>
      </c>
      <c r="N18" t="s">
        <v>592</v>
      </c>
      <c r="O18" t="s">
        <v>1081</v>
      </c>
      <c r="P18" t="s">
        <v>426</v>
      </c>
      <c r="Q18" t="s">
        <v>1082</v>
      </c>
      <c r="R18" t="s">
        <v>426</v>
      </c>
      <c r="S18" t="s">
        <v>802</v>
      </c>
      <c r="T18" t="s">
        <v>1083</v>
      </c>
      <c r="U18" t="s">
        <v>1084</v>
      </c>
      <c r="V18" t="s">
        <v>1085</v>
      </c>
      <c r="W18" t="s">
        <v>430</v>
      </c>
      <c r="X18" t="s">
        <v>464</v>
      </c>
      <c r="Y18" t="s">
        <v>1086</v>
      </c>
      <c r="Z18" t="s">
        <v>11</v>
      </c>
      <c r="AA18" t="s">
        <v>288</v>
      </c>
      <c r="AB18" t="s">
        <v>288</v>
      </c>
      <c r="AC18" t="s">
        <v>619</v>
      </c>
      <c r="AD18" t="s">
        <v>434</v>
      </c>
      <c r="AE18">
        <v>50810</v>
      </c>
      <c r="AF18" t="s">
        <v>703</v>
      </c>
      <c r="AG18" t="s">
        <v>426</v>
      </c>
      <c r="AH18" t="s">
        <v>947</v>
      </c>
      <c r="AI18">
        <v>8750000</v>
      </c>
      <c r="AJ18" t="s">
        <v>703</v>
      </c>
      <c r="AK18" t="s">
        <v>426</v>
      </c>
      <c r="AL18">
        <v>0</v>
      </c>
      <c r="AM18" t="s">
        <v>543</v>
      </c>
      <c r="AN18" t="s">
        <v>703</v>
      </c>
      <c r="AO18" t="s">
        <v>438</v>
      </c>
      <c r="AP18" t="s">
        <v>439</v>
      </c>
      <c r="AQ18" t="s">
        <v>426</v>
      </c>
      <c r="AR18">
        <v>17</v>
      </c>
      <c r="AS18">
        <v>0</v>
      </c>
      <c r="AT18">
        <v>0</v>
      </c>
      <c r="AU18">
        <v>-590000</v>
      </c>
      <c r="AV18">
        <v>10000000</v>
      </c>
      <c r="AW18">
        <v>8750000</v>
      </c>
      <c r="AX18">
        <v>1250000</v>
      </c>
      <c r="AY18" t="s">
        <v>1087</v>
      </c>
      <c r="AZ18">
        <v>0</v>
      </c>
      <c r="BA18">
        <v>310980</v>
      </c>
      <c r="BB18">
        <v>310980</v>
      </c>
      <c r="BC18">
        <v>0</v>
      </c>
      <c r="BD18" t="s">
        <v>441</v>
      </c>
      <c r="BE18">
        <v>0</v>
      </c>
      <c r="BF18">
        <v>0</v>
      </c>
      <c r="BG18">
        <v>0</v>
      </c>
      <c r="BH18">
        <v>0</v>
      </c>
      <c r="BI18" t="s">
        <v>441</v>
      </c>
      <c r="BJ18">
        <v>0</v>
      </c>
      <c r="BK18">
        <v>0</v>
      </c>
      <c r="BL18">
        <v>0</v>
      </c>
      <c r="BM18">
        <v>0</v>
      </c>
      <c r="BN18" t="s">
        <v>441</v>
      </c>
      <c r="BO18">
        <v>0</v>
      </c>
      <c r="BP18">
        <v>10310980</v>
      </c>
      <c r="BQ18">
        <v>9060980</v>
      </c>
      <c r="BR18">
        <v>1250000</v>
      </c>
      <c r="BS18" t="s">
        <v>1088</v>
      </c>
      <c r="BT18">
        <v>1250000</v>
      </c>
      <c r="BU18" t="s">
        <v>1088</v>
      </c>
      <c r="BV18">
        <v>0</v>
      </c>
      <c r="BW18">
        <v>0</v>
      </c>
      <c r="BX18">
        <v>10310980</v>
      </c>
      <c r="BY18">
        <v>0</v>
      </c>
      <c r="BZ18">
        <v>310980</v>
      </c>
      <c r="CA18">
        <v>0</v>
      </c>
      <c r="CB18">
        <v>10310980</v>
      </c>
      <c r="CC18">
        <v>10310980</v>
      </c>
      <c r="CD18" s="2">
        <v>1250000</v>
      </c>
      <c r="CE18" t="s">
        <v>1088</v>
      </c>
      <c r="CF18" t="s">
        <v>426</v>
      </c>
      <c r="CG18">
        <v>0</v>
      </c>
      <c r="CH18" t="s">
        <v>426</v>
      </c>
      <c r="CI18">
        <v>0</v>
      </c>
      <c r="CJ18">
        <v>0</v>
      </c>
      <c r="CK18">
        <v>0</v>
      </c>
      <c r="CL18" t="s">
        <v>426</v>
      </c>
    </row>
    <row r="19" spans="1:90">
      <c r="A19" t="s">
        <v>6</v>
      </c>
      <c r="B19" t="s">
        <v>290</v>
      </c>
      <c r="C19" t="s">
        <v>291</v>
      </c>
      <c r="D19">
        <v>2021</v>
      </c>
      <c r="E19" t="s">
        <v>292</v>
      </c>
      <c r="F19" t="s">
        <v>289</v>
      </c>
      <c r="G19" s="17">
        <v>755088</v>
      </c>
      <c r="H19" s="19">
        <f t="shared" si="0"/>
        <v>6.6668667965156212</v>
      </c>
      <c r="I19" t="s">
        <v>53</v>
      </c>
      <c r="J19" t="s">
        <v>33</v>
      </c>
      <c r="K19" t="s">
        <v>1089</v>
      </c>
      <c r="L19">
        <v>5955</v>
      </c>
      <c r="M19">
        <v>16074803</v>
      </c>
      <c r="N19" t="s">
        <v>458</v>
      </c>
      <c r="O19" t="s">
        <v>1090</v>
      </c>
      <c r="P19" t="s">
        <v>426</v>
      </c>
      <c r="Q19" t="s">
        <v>1091</v>
      </c>
      <c r="R19" t="s">
        <v>426</v>
      </c>
      <c r="S19" t="s">
        <v>506</v>
      </c>
      <c r="T19" t="s">
        <v>1092</v>
      </c>
      <c r="U19" t="s">
        <v>1093</v>
      </c>
      <c r="V19" t="s">
        <v>1094</v>
      </c>
      <c r="W19" t="s">
        <v>430</v>
      </c>
      <c r="X19" t="s">
        <v>464</v>
      </c>
      <c r="Y19" t="s">
        <v>1095</v>
      </c>
      <c r="Z19" t="s">
        <v>64</v>
      </c>
      <c r="AA19" t="s">
        <v>292</v>
      </c>
      <c r="AB19" t="s">
        <v>292</v>
      </c>
      <c r="AC19" t="s">
        <v>619</v>
      </c>
      <c r="AD19" t="s">
        <v>434</v>
      </c>
      <c r="AE19">
        <v>50818</v>
      </c>
      <c r="AF19" t="s">
        <v>633</v>
      </c>
      <c r="AG19" t="s">
        <v>426</v>
      </c>
      <c r="AH19" t="s">
        <v>937</v>
      </c>
      <c r="AI19">
        <v>10000000</v>
      </c>
      <c r="AJ19" t="s">
        <v>633</v>
      </c>
      <c r="AK19" t="s">
        <v>426</v>
      </c>
      <c r="AL19">
        <v>0</v>
      </c>
      <c r="AM19" t="s">
        <v>543</v>
      </c>
      <c r="AN19" t="s">
        <v>633</v>
      </c>
      <c r="AO19" t="s">
        <v>438</v>
      </c>
      <c r="AP19" t="s">
        <v>439</v>
      </c>
      <c r="AQ19" t="s">
        <v>426</v>
      </c>
      <c r="AR19">
        <v>58</v>
      </c>
      <c r="AS19">
        <v>0</v>
      </c>
      <c r="AT19">
        <v>0</v>
      </c>
      <c r="AU19">
        <v>-690000</v>
      </c>
      <c r="AV19">
        <v>11000000</v>
      </c>
      <c r="AW19">
        <v>10000000</v>
      </c>
      <c r="AX19">
        <v>1000000</v>
      </c>
      <c r="AY19" t="s">
        <v>1096</v>
      </c>
      <c r="AZ19">
        <v>0</v>
      </c>
      <c r="BA19">
        <v>325980</v>
      </c>
      <c r="BB19">
        <v>325980</v>
      </c>
      <c r="BC19">
        <v>0</v>
      </c>
      <c r="BD19" t="s">
        <v>441</v>
      </c>
      <c r="BE19">
        <v>0</v>
      </c>
      <c r="BF19">
        <v>0</v>
      </c>
      <c r="BG19">
        <v>0</v>
      </c>
      <c r="BH19">
        <v>0</v>
      </c>
      <c r="BI19" t="s">
        <v>441</v>
      </c>
      <c r="BJ19">
        <v>0</v>
      </c>
      <c r="BK19">
        <v>0</v>
      </c>
      <c r="BL19">
        <v>0</v>
      </c>
      <c r="BM19">
        <v>0</v>
      </c>
      <c r="BN19" t="s">
        <v>441</v>
      </c>
      <c r="BO19">
        <v>0</v>
      </c>
      <c r="BP19">
        <v>11325980</v>
      </c>
      <c r="BQ19">
        <v>10570892</v>
      </c>
      <c r="BR19">
        <v>755088</v>
      </c>
      <c r="BS19" t="s">
        <v>1097</v>
      </c>
      <c r="BT19">
        <v>755088</v>
      </c>
      <c r="BU19" t="s">
        <v>1097</v>
      </c>
      <c r="BV19">
        <v>0</v>
      </c>
      <c r="BW19">
        <v>0</v>
      </c>
      <c r="BX19">
        <v>11335980</v>
      </c>
      <c r="BY19">
        <v>-10000</v>
      </c>
      <c r="BZ19">
        <v>325980</v>
      </c>
      <c r="CA19">
        <v>0</v>
      </c>
      <c r="CB19">
        <v>11325980</v>
      </c>
      <c r="CC19">
        <v>11325980</v>
      </c>
      <c r="CD19" s="2">
        <v>755088</v>
      </c>
      <c r="CE19" t="s">
        <v>1097</v>
      </c>
      <c r="CF19" t="s">
        <v>426</v>
      </c>
      <c r="CG19">
        <v>0</v>
      </c>
      <c r="CH19" t="s">
        <v>426</v>
      </c>
      <c r="CI19">
        <v>0</v>
      </c>
      <c r="CJ19">
        <v>0</v>
      </c>
      <c r="CK19">
        <v>244912</v>
      </c>
      <c r="CL19" t="s">
        <v>426</v>
      </c>
    </row>
    <row r="20" spans="1:90">
      <c r="A20" t="s">
        <v>6</v>
      </c>
      <c r="B20" t="s">
        <v>294</v>
      </c>
      <c r="C20" t="s">
        <v>295</v>
      </c>
      <c r="D20">
        <v>2025</v>
      </c>
      <c r="E20" t="s">
        <v>296</v>
      </c>
      <c r="F20" t="s">
        <v>293</v>
      </c>
      <c r="G20" s="17">
        <f>1740518+150000</f>
        <v>1890518</v>
      </c>
      <c r="H20" s="19">
        <f t="shared" si="0"/>
        <v>9.0786538652703133</v>
      </c>
      <c r="I20" t="s">
        <v>53</v>
      </c>
      <c r="J20" t="s">
        <v>44</v>
      </c>
      <c r="K20" t="s">
        <v>1098</v>
      </c>
      <c r="L20">
        <v>5957</v>
      </c>
      <c r="M20">
        <v>13682729</v>
      </c>
      <c r="N20" t="s">
        <v>485</v>
      </c>
      <c r="O20" t="s">
        <v>1099</v>
      </c>
      <c r="P20" t="s">
        <v>1100</v>
      </c>
      <c r="Q20" t="s">
        <v>426</v>
      </c>
      <c r="R20" t="s">
        <v>426</v>
      </c>
      <c r="S20" t="s">
        <v>1101</v>
      </c>
      <c r="T20" t="s">
        <v>1102</v>
      </c>
      <c r="U20" t="s">
        <v>1103</v>
      </c>
      <c r="V20" t="s">
        <v>1104</v>
      </c>
      <c r="W20" t="s">
        <v>509</v>
      </c>
      <c r="X20" t="s">
        <v>464</v>
      </c>
      <c r="Y20" t="s">
        <v>1105</v>
      </c>
      <c r="Z20" t="s">
        <v>11</v>
      </c>
      <c r="AA20" t="s">
        <v>296</v>
      </c>
      <c r="AB20" t="s">
        <v>296</v>
      </c>
      <c r="AC20" t="s">
        <v>619</v>
      </c>
      <c r="AD20" t="s">
        <v>434</v>
      </c>
      <c r="AE20">
        <v>50800</v>
      </c>
      <c r="AF20" t="s">
        <v>722</v>
      </c>
      <c r="AG20" t="s">
        <v>426</v>
      </c>
      <c r="AH20" t="s">
        <v>947</v>
      </c>
      <c r="AI20">
        <v>18555482</v>
      </c>
      <c r="AJ20" t="s">
        <v>749</v>
      </c>
      <c r="AK20" t="s">
        <v>426</v>
      </c>
      <c r="AL20">
        <v>0</v>
      </c>
      <c r="AM20" t="s">
        <v>437</v>
      </c>
      <c r="AN20" t="s">
        <v>749</v>
      </c>
      <c r="AO20" t="s">
        <v>481</v>
      </c>
      <c r="AP20" t="s">
        <v>439</v>
      </c>
      <c r="AQ20" t="s">
        <v>1106</v>
      </c>
      <c r="AR20">
        <v>100</v>
      </c>
      <c r="AS20">
        <v>0</v>
      </c>
      <c r="AT20">
        <v>0</v>
      </c>
      <c r="AU20">
        <v>-684000</v>
      </c>
      <c r="AV20">
        <v>20306000</v>
      </c>
      <c r="AW20">
        <v>18555482</v>
      </c>
      <c r="AX20">
        <v>1750518</v>
      </c>
      <c r="AY20" t="s">
        <v>1107</v>
      </c>
      <c r="AZ20">
        <v>0</v>
      </c>
      <c r="BA20">
        <v>517770</v>
      </c>
      <c r="BB20">
        <v>517770</v>
      </c>
      <c r="BC20">
        <v>0</v>
      </c>
      <c r="BD20" t="s">
        <v>441</v>
      </c>
      <c r="BE20">
        <v>0</v>
      </c>
      <c r="BF20">
        <v>0</v>
      </c>
      <c r="BG20">
        <v>0</v>
      </c>
      <c r="BH20">
        <v>0</v>
      </c>
      <c r="BI20" t="s">
        <v>441</v>
      </c>
      <c r="BJ20">
        <v>0</v>
      </c>
      <c r="BK20">
        <v>0</v>
      </c>
      <c r="BL20">
        <v>0</v>
      </c>
      <c r="BM20">
        <v>0</v>
      </c>
      <c r="BN20" t="s">
        <v>441</v>
      </c>
      <c r="BO20">
        <v>0</v>
      </c>
      <c r="BP20">
        <v>20823770</v>
      </c>
      <c r="BQ20">
        <v>19083252</v>
      </c>
      <c r="BR20">
        <v>1740518</v>
      </c>
      <c r="BS20" t="s">
        <v>1108</v>
      </c>
      <c r="BT20">
        <v>1740518</v>
      </c>
      <c r="BU20" t="s">
        <v>1108</v>
      </c>
      <c r="BV20">
        <v>0</v>
      </c>
      <c r="BW20">
        <v>8431850</v>
      </c>
      <c r="BX20">
        <v>18782230</v>
      </c>
      <c r="BY20">
        <v>-6390310</v>
      </c>
      <c r="BZ20">
        <v>517770</v>
      </c>
      <c r="CA20">
        <v>0</v>
      </c>
      <c r="CB20">
        <v>20823770</v>
      </c>
      <c r="CC20">
        <v>20823770</v>
      </c>
      <c r="CD20" s="2">
        <v>1740518</v>
      </c>
      <c r="CE20" t="s">
        <v>1108</v>
      </c>
      <c r="CF20" t="s">
        <v>426</v>
      </c>
      <c r="CG20">
        <v>0</v>
      </c>
      <c r="CH20" t="s">
        <v>426</v>
      </c>
      <c r="CI20">
        <v>0</v>
      </c>
      <c r="CJ20">
        <v>0</v>
      </c>
      <c r="CK20">
        <v>10000</v>
      </c>
      <c r="CL20" t="s">
        <v>426</v>
      </c>
    </row>
    <row r="21" spans="1:90" s="2" customFormat="1">
      <c r="A21" s="2" t="s">
        <v>58</v>
      </c>
      <c r="B21" s="2" t="s">
        <v>298</v>
      </c>
      <c r="C21" s="2" t="s">
        <v>299</v>
      </c>
      <c r="D21" s="2">
        <v>2013</v>
      </c>
      <c r="E21" s="2" t="s">
        <v>300</v>
      </c>
      <c r="F21" s="2" t="s">
        <v>297</v>
      </c>
      <c r="G21" s="17">
        <v>0</v>
      </c>
      <c r="H21" s="19">
        <f t="shared" si="0"/>
        <v>0</v>
      </c>
      <c r="I21" s="2" t="s">
        <v>53</v>
      </c>
      <c r="J21" s="2" t="s">
        <v>59</v>
      </c>
      <c r="K21" s="2" t="s">
        <v>1109</v>
      </c>
      <c r="L21" s="2">
        <v>5959</v>
      </c>
      <c r="M21" s="2">
        <v>5713005</v>
      </c>
      <c r="N21" s="2" t="s">
        <v>760</v>
      </c>
      <c r="O21" s="2" t="s">
        <v>1110</v>
      </c>
      <c r="P21" s="2" t="s">
        <v>1111</v>
      </c>
      <c r="Q21" s="2" t="s">
        <v>426</v>
      </c>
      <c r="R21" s="2" t="s">
        <v>426</v>
      </c>
      <c r="S21" s="2" t="s">
        <v>603</v>
      </c>
      <c r="T21" s="2" t="s">
        <v>1112</v>
      </c>
      <c r="U21" s="2" t="s">
        <v>1113</v>
      </c>
      <c r="V21" s="2" t="s">
        <v>850</v>
      </c>
      <c r="W21" s="2" t="s">
        <v>509</v>
      </c>
      <c r="X21" s="2" t="s">
        <v>1114</v>
      </c>
      <c r="Y21" s="2" t="s">
        <v>298</v>
      </c>
      <c r="Z21" s="2" t="s">
        <v>252</v>
      </c>
      <c r="AA21" s="2" t="s">
        <v>300</v>
      </c>
      <c r="AB21" s="2" t="s">
        <v>426</v>
      </c>
      <c r="AC21" s="2" t="s">
        <v>619</v>
      </c>
      <c r="AD21" s="2" t="s">
        <v>434</v>
      </c>
      <c r="AE21" s="2">
        <v>50802</v>
      </c>
      <c r="AF21" s="2" t="s">
        <v>585</v>
      </c>
      <c r="AG21" s="2" t="s">
        <v>426</v>
      </c>
      <c r="AH21" s="2" t="s">
        <v>634</v>
      </c>
      <c r="AI21" s="2">
        <v>2000000</v>
      </c>
      <c r="AJ21" s="2" t="s">
        <v>585</v>
      </c>
      <c r="AK21" s="2" t="s">
        <v>426</v>
      </c>
      <c r="AL21" s="2">
        <v>0</v>
      </c>
      <c r="AM21" s="2" t="s">
        <v>437</v>
      </c>
      <c r="AN21" s="2" t="s">
        <v>585</v>
      </c>
      <c r="AO21" s="2" t="s">
        <v>438</v>
      </c>
      <c r="AP21" s="2" t="s">
        <v>439</v>
      </c>
      <c r="AQ21" s="2" t="s">
        <v>426</v>
      </c>
      <c r="AR21" s="2">
        <v>3</v>
      </c>
      <c r="AS21" s="2">
        <v>0</v>
      </c>
      <c r="AT21" s="2">
        <v>0</v>
      </c>
      <c r="AU21" s="2">
        <v>0</v>
      </c>
      <c r="AV21" s="2">
        <v>2000000</v>
      </c>
      <c r="AW21" s="2">
        <v>2000000</v>
      </c>
      <c r="AX21" s="2">
        <v>0</v>
      </c>
      <c r="AY21" s="2" t="s">
        <v>441</v>
      </c>
      <c r="AZ21" s="2">
        <v>0</v>
      </c>
      <c r="BA21" s="2">
        <v>0</v>
      </c>
      <c r="BB21" s="2">
        <v>0</v>
      </c>
      <c r="BC21" s="2">
        <v>0</v>
      </c>
      <c r="BD21" s="2" t="s">
        <v>441</v>
      </c>
      <c r="BE21" s="2">
        <v>0</v>
      </c>
      <c r="BF21" s="2">
        <v>0</v>
      </c>
      <c r="BG21" s="2">
        <v>0</v>
      </c>
      <c r="BH21" s="2">
        <v>0</v>
      </c>
      <c r="BI21" s="2" t="s">
        <v>441</v>
      </c>
      <c r="BJ21" s="2">
        <v>0</v>
      </c>
      <c r="BK21" s="2">
        <v>0</v>
      </c>
      <c r="BL21" s="2">
        <v>0</v>
      </c>
      <c r="BM21" s="2">
        <v>0</v>
      </c>
      <c r="BN21" s="2" t="s">
        <v>441</v>
      </c>
      <c r="BO21" s="2">
        <v>0</v>
      </c>
      <c r="BP21" s="2">
        <v>2000000</v>
      </c>
      <c r="BQ21" s="2">
        <v>2000000</v>
      </c>
      <c r="BR21" s="2">
        <v>0</v>
      </c>
      <c r="BS21" s="2" t="s">
        <v>441</v>
      </c>
      <c r="BT21" s="2">
        <v>0</v>
      </c>
      <c r="BU21" s="2" t="s">
        <v>441</v>
      </c>
      <c r="BV21" s="2">
        <v>0</v>
      </c>
      <c r="BW21" s="2">
        <v>0</v>
      </c>
      <c r="BX21" s="2">
        <v>2000000</v>
      </c>
      <c r="BY21" s="2">
        <v>0</v>
      </c>
      <c r="BZ21" s="2">
        <v>0</v>
      </c>
      <c r="CA21" s="2">
        <v>0</v>
      </c>
      <c r="CB21" s="2">
        <v>2000000</v>
      </c>
      <c r="CC21" s="2">
        <v>2000000</v>
      </c>
      <c r="CD21" s="2">
        <v>0</v>
      </c>
      <c r="CE21" s="2" t="s">
        <v>441</v>
      </c>
      <c r="CF21" s="2" t="s">
        <v>426</v>
      </c>
      <c r="CG21" s="2">
        <v>0</v>
      </c>
      <c r="CH21" s="2" t="s">
        <v>426</v>
      </c>
      <c r="CI21" s="2">
        <v>0</v>
      </c>
      <c r="CJ21" s="2">
        <v>0</v>
      </c>
      <c r="CK21" s="2">
        <v>0</v>
      </c>
      <c r="CL21" s="2" t="s">
        <v>426</v>
      </c>
    </row>
    <row r="22" spans="1:90">
      <c r="A22" t="s">
        <v>57</v>
      </c>
      <c r="B22" t="s">
        <v>302</v>
      </c>
      <c r="C22" t="s">
        <v>303</v>
      </c>
      <c r="D22">
        <v>2015</v>
      </c>
      <c r="E22" t="s">
        <v>304</v>
      </c>
      <c r="F22" t="s">
        <v>301</v>
      </c>
      <c r="G22" s="17">
        <v>1686670</v>
      </c>
      <c r="H22" s="19">
        <f t="shared" si="0"/>
        <v>22.518958611481978</v>
      </c>
      <c r="I22" t="s">
        <v>53</v>
      </c>
      <c r="J22" t="s">
        <v>33</v>
      </c>
      <c r="K22" t="s">
        <v>1115</v>
      </c>
      <c r="L22">
        <v>5961</v>
      </c>
      <c r="M22">
        <v>18496649</v>
      </c>
      <c r="N22" t="s">
        <v>921</v>
      </c>
      <c r="O22" t="s">
        <v>1116</v>
      </c>
      <c r="P22" t="s">
        <v>426</v>
      </c>
      <c r="Q22" t="s">
        <v>1117</v>
      </c>
      <c r="R22" t="s">
        <v>426</v>
      </c>
      <c r="S22" t="s">
        <v>488</v>
      </c>
      <c r="T22" t="s">
        <v>1118</v>
      </c>
      <c r="U22" t="s">
        <v>1119</v>
      </c>
      <c r="V22" t="s">
        <v>1120</v>
      </c>
      <c r="W22" t="s">
        <v>463</v>
      </c>
      <c r="X22" t="s">
        <v>57</v>
      </c>
      <c r="Y22" t="s">
        <v>1121</v>
      </c>
      <c r="Z22" t="s">
        <v>50</v>
      </c>
      <c r="AA22" t="s">
        <v>304</v>
      </c>
      <c r="AB22" t="s">
        <v>304</v>
      </c>
      <c r="AC22" t="s">
        <v>619</v>
      </c>
      <c r="AD22" t="s">
        <v>434</v>
      </c>
      <c r="AE22">
        <v>50811</v>
      </c>
      <c r="AF22" t="s">
        <v>633</v>
      </c>
      <c r="AG22" t="s">
        <v>426</v>
      </c>
      <c r="AH22" t="s">
        <v>937</v>
      </c>
      <c r="AI22">
        <v>5500000</v>
      </c>
      <c r="AJ22" t="s">
        <v>633</v>
      </c>
      <c r="AK22" t="s">
        <v>426</v>
      </c>
      <c r="AL22">
        <v>0</v>
      </c>
      <c r="AM22" t="s">
        <v>543</v>
      </c>
      <c r="AN22" t="s">
        <v>633</v>
      </c>
      <c r="AO22" t="s">
        <v>438</v>
      </c>
      <c r="AP22" t="s">
        <v>439</v>
      </c>
      <c r="AQ22" t="s">
        <v>1122</v>
      </c>
      <c r="AR22">
        <v>32</v>
      </c>
      <c r="AS22">
        <v>0</v>
      </c>
      <c r="AT22">
        <v>0</v>
      </c>
      <c r="AU22">
        <v>-303330</v>
      </c>
      <c r="AV22">
        <v>7186670</v>
      </c>
      <c r="AW22">
        <v>5500000</v>
      </c>
      <c r="AX22">
        <v>1686670</v>
      </c>
      <c r="AY22" t="s">
        <v>1123</v>
      </c>
      <c r="AZ22">
        <v>0</v>
      </c>
      <c r="BA22">
        <v>303330</v>
      </c>
      <c r="BB22">
        <v>303330</v>
      </c>
      <c r="BC22">
        <v>0</v>
      </c>
      <c r="BD22" t="s">
        <v>441</v>
      </c>
      <c r="BE22">
        <v>0</v>
      </c>
      <c r="BF22">
        <v>0</v>
      </c>
      <c r="BG22">
        <v>0</v>
      </c>
      <c r="BH22">
        <v>0</v>
      </c>
      <c r="BI22" t="s">
        <v>441</v>
      </c>
      <c r="BJ22">
        <v>0</v>
      </c>
      <c r="BK22">
        <v>0</v>
      </c>
      <c r="BL22">
        <v>0</v>
      </c>
      <c r="BM22">
        <v>0</v>
      </c>
      <c r="BN22" t="s">
        <v>441</v>
      </c>
      <c r="BO22">
        <v>0</v>
      </c>
      <c r="BP22">
        <v>7490000</v>
      </c>
      <c r="BQ22">
        <v>5803330</v>
      </c>
      <c r="BR22">
        <v>1686670</v>
      </c>
      <c r="BS22" t="s">
        <v>1124</v>
      </c>
      <c r="BT22">
        <v>1686670</v>
      </c>
      <c r="BU22" t="s">
        <v>1124</v>
      </c>
      <c r="BV22">
        <v>0</v>
      </c>
      <c r="BW22">
        <v>5600000</v>
      </c>
      <c r="BX22">
        <v>1890000</v>
      </c>
      <c r="BY22">
        <v>0</v>
      </c>
      <c r="BZ22">
        <v>303330</v>
      </c>
      <c r="CA22">
        <v>0</v>
      </c>
      <c r="CB22">
        <v>7525000</v>
      </c>
      <c r="CC22">
        <v>7490000</v>
      </c>
      <c r="CD22" s="2">
        <v>1686670</v>
      </c>
      <c r="CE22" t="s">
        <v>1124</v>
      </c>
      <c r="CF22" t="s">
        <v>426</v>
      </c>
      <c r="CG22">
        <v>0</v>
      </c>
      <c r="CH22" t="s">
        <v>426</v>
      </c>
      <c r="CI22">
        <v>0</v>
      </c>
      <c r="CJ22">
        <v>0</v>
      </c>
      <c r="CK22">
        <v>0</v>
      </c>
      <c r="CL22" t="s">
        <v>426</v>
      </c>
    </row>
    <row r="23" spans="1:90">
      <c r="A23" t="s">
        <v>6</v>
      </c>
      <c r="B23" t="s">
        <v>306</v>
      </c>
      <c r="C23" t="s">
        <v>307</v>
      </c>
      <c r="D23">
        <v>2018</v>
      </c>
      <c r="E23" t="s">
        <v>308</v>
      </c>
      <c r="F23" t="s">
        <v>305</v>
      </c>
      <c r="G23" s="17">
        <v>891068</v>
      </c>
      <c r="H23" s="19">
        <f t="shared" si="0"/>
        <v>14.8759265442404</v>
      </c>
      <c r="I23" t="s">
        <v>53</v>
      </c>
      <c r="J23" t="s">
        <v>44</v>
      </c>
      <c r="K23" t="s">
        <v>1125</v>
      </c>
      <c r="L23">
        <v>5965</v>
      </c>
      <c r="M23">
        <v>12214885</v>
      </c>
      <c r="N23" t="s">
        <v>537</v>
      </c>
      <c r="O23" t="s">
        <v>1126</v>
      </c>
      <c r="P23" t="s">
        <v>426</v>
      </c>
      <c r="Q23" t="s">
        <v>1127</v>
      </c>
      <c r="R23" t="s">
        <v>426</v>
      </c>
      <c r="S23" t="s">
        <v>816</v>
      </c>
      <c r="T23" t="s">
        <v>1128</v>
      </c>
      <c r="U23" t="s">
        <v>1129</v>
      </c>
      <c r="V23" t="s">
        <v>1130</v>
      </c>
      <c r="W23" t="s">
        <v>490</v>
      </c>
      <c r="X23" t="s">
        <v>1131</v>
      </c>
      <c r="Y23" t="s">
        <v>1132</v>
      </c>
      <c r="Z23" t="s">
        <v>11</v>
      </c>
      <c r="AA23" t="s">
        <v>308</v>
      </c>
      <c r="AB23" t="s">
        <v>308</v>
      </c>
      <c r="AC23" t="s">
        <v>619</v>
      </c>
      <c r="AD23" t="s">
        <v>434</v>
      </c>
      <c r="AE23">
        <v>50820</v>
      </c>
      <c r="AF23" t="s">
        <v>633</v>
      </c>
      <c r="AG23" t="s">
        <v>426</v>
      </c>
      <c r="AH23" t="s">
        <v>1012</v>
      </c>
      <c r="AI23">
        <v>4500000</v>
      </c>
      <c r="AJ23" t="s">
        <v>898</v>
      </c>
      <c r="AK23" t="s">
        <v>426</v>
      </c>
      <c r="AL23">
        <v>0</v>
      </c>
      <c r="AM23" t="s">
        <v>437</v>
      </c>
      <c r="AN23" t="s">
        <v>898</v>
      </c>
      <c r="AO23" t="s">
        <v>481</v>
      </c>
      <c r="AP23" t="s">
        <v>439</v>
      </c>
      <c r="AQ23" t="s">
        <v>426</v>
      </c>
      <c r="AR23">
        <v>58</v>
      </c>
      <c r="AS23">
        <v>0</v>
      </c>
      <c r="AT23">
        <v>0</v>
      </c>
      <c r="AU23">
        <v>-284000</v>
      </c>
      <c r="AV23">
        <v>5706000</v>
      </c>
      <c r="AW23">
        <v>4500000</v>
      </c>
      <c r="AX23">
        <v>1206000</v>
      </c>
      <c r="AY23" t="s">
        <v>1133</v>
      </c>
      <c r="AZ23">
        <v>0</v>
      </c>
      <c r="BA23">
        <v>284000</v>
      </c>
      <c r="BB23">
        <v>284000</v>
      </c>
      <c r="BC23">
        <v>0</v>
      </c>
      <c r="BD23" t="s">
        <v>441</v>
      </c>
      <c r="BE23">
        <v>0</v>
      </c>
      <c r="BF23">
        <v>0</v>
      </c>
      <c r="BG23">
        <v>0</v>
      </c>
      <c r="BH23">
        <v>0</v>
      </c>
      <c r="BI23" t="s">
        <v>441</v>
      </c>
      <c r="BJ23">
        <v>0</v>
      </c>
      <c r="BK23">
        <v>0</v>
      </c>
      <c r="BL23">
        <v>0</v>
      </c>
      <c r="BM23">
        <v>0</v>
      </c>
      <c r="BN23" t="s">
        <v>441</v>
      </c>
      <c r="BO23">
        <v>0</v>
      </c>
      <c r="BP23">
        <v>5990000</v>
      </c>
      <c r="BQ23">
        <v>5098932</v>
      </c>
      <c r="BR23">
        <v>891068</v>
      </c>
      <c r="BS23" t="s">
        <v>1134</v>
      </c>
      <c r="BT23">
        <v>891068</v>
      </c>
      <c r="BU23" t="s">
        <v>1134</v>
      </c>
      <c r="BV23">
        <v>0</v>
      </c>
      <c r="BW23">
        <v>0</v>
      </c>
      <c r="BX23">
        <v>5990000</v>
      </c>
      <c r="BY23">
        <v>0</v>
      </c>
      <c r="BZ23">
        <v>284000</v>
      </c>
      <c r="CA23">
        <v>0</v>
      </c>
      <c r="CB23">
        <v>5990000</v>
      </c>
      <c r="CC23">
        <v>5990000</v>
      </c>
      <c r="CD23" s="2">
        <v>891068</v>
      </c>
      <c r="CE23" t="s">
        <v>1134</v>
      </c>
      <c r="CF23" t="s">
        <v>426</v>
      </c>
      <c r="CG23">
        <v>0</v>
      </c>
      <c r="CH23" t="s">
        <v>426</v>
      </c>
      <c r="CI23">
        <v>0</v>
      </c>
      <c r="CJ23">
        <v>0</v>
      </c>
      <c r="CK23">
        <v>314932</v>
      </c>
      <c r="CL23" t="s">
        <v>426</v>
      </c>
    </row>
    <row r="24" spans="1:90">
      <c r="A24" t="s">
        <v>310</v>
      </c>
      <c r="B24" t="s">
        <v>311</v>
      </c>
      <c r="C24" t="s">
        <v>312</v>
      </c>
      <c r="D24">
        <v>2024</v>
      </c>
      <c r="E24" t="s">
        <v>313</v>
      </c>
      <c r="F24" t="s">
        <v>309</v>
      </c>
      <c r="G24" s="17">
        <v>500000</v>
      </c>
      <c r="H24" s="19">
        <f t="shared" si="0"/>
        <v>5.359068293822709</v>
      </c>
      <c r="I24" t="s">
        <v>53</v>
      </c>
      <c r="J24" t="s">
        <v>33</v>
      </c>
      <c r="K24" t="s">
        <v>1135</v>
      </c>
      <c r="L24">
        <v>5966</v>
      </c>
      <c r="M24">
        <v>18761500</v>
      </c>
      <c r="N24" t="s">
        <v>423</v>
      </c>
      <c r="O24" t="s">
        <v>1136</v>
      </c>
      <c r="P24" t="s">
        <v>426</v>
      </c>
      <c r="Q24" t="s">
        <v>1137</v>
      </c>
      <c r="R24" t="s">
        <v>426</v>
      </c>
      <c r="S24" t="s">
        <v>506</v>
      </c>
      <c r="T24" t="s">
        <v>1138</v>
      </c>
      <c r="U24" t="s">
        <v>1139</v>
      </c>
      <c r="V24" t="s">
        <v>1050</v>
      </c>
      <c r="W24" t="s">
        <v>1140</v>
      </c>
      <c r="X24" t="s">
        <v>1141</v>
      </c>
      <c r="Y24" t="s">
        <v>1142</v>
      </c>
      <c r="Z24" t="s">
        <v>39</v>
      </c>
      <c r="AA24" t="s">
        <v>313</v>
      </c>
      <c r="AB24" t="s">
        <v>313</v>
      </c>
      <c r="AC24" t="s">
        <v>619</v>
      </c>
      <c r="AD24" t="s">
        <v>434</v>
      </c>
      <c r="AE24">
        <v>50821</v>
      </c>
      <c r="AF24" t="s">
        <v>633</v>
      </c>
      <c r="AG24" t="s">
        <v>426</v>
      </c>
      <c r="AH24" t="s">
        <v>634</v>
      </c>
      <c r="AI24">
        <v>8500000</v>
      </c>
      <c r="AJ24" t="s">
        <v>633</v>
      </c>
      <c r="AK24" t="s">
        <v>426</v>
      </c>
      <c r="AL24">
        <v>0</v>
      </c>
      <c r="AM24" t="s">
        <v>543</v>
      </c>
      <c r="AN24" t="s">
        <v>633</v>
      </c>
      <c r="AO24" t="s">
        <v>438</v>
      </c>
      <c r="AP24" t="s">
        <v>439</v>
      </c>
      <c r="AQ24" t="s">
        <v>426</v>
      </c>
      <c r="AR24">
        <v>11</v>
      </c>
      <c r="AS24">
        <v>0</v>
      </c>
      <c r="AT24">
        <v>0</v>
      </c>
      <c r="AU24">
        <v>-590000</v>
      </c>
      <c r="AV24">
        <v>9000000</v>
      </c>
      <c r="AW24">
        <v>8500000</v>
      </c>
      <c r="AX24">
        <v>500000</v>
      </c>
      <c r="AY24" t="s">
        <v>1143</v>
      </c>
      <c r="AZ24">
        <v>0</v>
      </c>
      <c r="BA24">
        <v>329980</v>
      </c>
      <c r="BB24">
        <v>329980</v>
      </c>
      <c r="BC24">
        <v>0</v>
      </c>
      <c r="BD24" t="s">
        <v>441</v>
      </c>
      <c r="BE24">
        <v>0</v>
      </c>
      <c r="BF24">
        <v>0</v>
      </c>
      <c r="BG24">
        <v>0</v>
      </c>
      <c r="BH24">
        <v>0</v>
      </c>
      <c r="BI24" t="s">
        <v>441</v>
      </c>
      <c r="BJ24">
        <v>0</v>
      </c>
      <c r="BK24">
        <v>0</v>
      </c>
      <c r="BL24">
        <v>0</v>
      </c>
      <c r="BM24">
        <v>0</v>
      </c>
      <c r="BN24" t="s">
        <v>441</v>
      </c>
      <c r="BO24">
        <v>0</v>
      </c>
      <c r="BP24">
        <v>9329980</v>
      </c>
      <c r="BQ24">
        <v>8829980</v>
      </c>
      <c r="BR24">
        <v>500000</v>
      </c>
      <c r="BS24" t="s">
        <v>1144</v>
      </c>
      <c r="BT24">
        <v>500000</v>
      </c>
      <c r="BU24" t="s">
        <v>1144</v>
      </c>
      <c r="BV24">
        <v>0</v>
      </c>
      <c r="BW24">
        <v>0</v>
      </c>
      <c r="BX24">
        <v>9329980</v>
      </c>
      <c r="BY24">
        <v>0</v>
      </c>
      <c r="BZ24">
        <v>329980</v>
      </c>
      <c r="CA24">
        <v>0</v>
      </c>
      <c r="CB24">
        <v>9329980</v>
      </c>
      <c r="CC24">
        <v>9329980</v>
      </c>
      <c r="CD24" s="2">
        <v>500000</v>
      </c>
      <c r="CE24" t="s">
        <v>1144</v>
      </c>
      <c r="CF24" t="s">
        <v>426</v>
      </c>
      <c r="CG24">
        <v>0</v>
      </c>
      <c r="CH24" t="s">
        <v>426</v>
      </c>
      <c r="CI24">
        <v>0</v>
      </c>
      <c r="CJ24">
        <v>0</v>
      </c>
      <c r="CK24">
        <v>0</v>
      </c>
      <c r="CL24" t="s">
        <v>426</v>
      </c>
    </row>
    <row r="25" spans="1:90" s="2" customFormat="1">
      <c r="A25" s="2" t="s">
        <v>6</v>
      </c>
      <c r="B25" s="2" t="s">
        <v>314</v>
      </c>
      <c r="C25" s="2" t="s">
        <v>316</v>
      </c>
      <c r="D25" s="2">
        <v>2011</v>
      </c>
      <c r="E25" s="2" t="s">
        <v>317</v>
      </c>
      <c r="F25" s="2" t="s">
        <v>60</v>
      </c>
      <c r="G25" s="17">
        <v>400000</v>
      </c>
      <c r="H25" s="19">
        <f t="shared" si="0"/>
        <v>15.384615384615385</v>
      </c>
      <c r="I25" s="2" t="s">
        <v>53</v>
      </c>
      <c r="J25" s="2" t="s">
        <v>59</v>
      </c>
      <c r="K25" s="2" t="s">
        <v>1145</v>
      </c>
      <c r="L25" s="2">
        <v>5967</v>
      </c>
      <c r="M25" s="2">
        <v>76981608</v>
      </c>
      <c r="N25" s="2" t="s">
        <v>760</v>
      </c>
      <c r="O25" s="2" t="s">
        <v>951</v>
      </c>
      <c r="P25" s="2" t="s">
        <v>426</v>
      </c>
      <c r="Q25" s="2" t="s">
        <v>952</v>
      </c>
      <c r="R25" s="2" t="s">
        <v>426</v>
      </c>
      <c r="S25" s="2" t="s">
        <v>488</v>
      </c>
      <c r="T25" s="2" t="s">
        <v>426</v>
      </c>
      <c r="U25" s="2" t="s">
        <v>953</v>
      </c>
      <c r="V25" s="2" t="s">
        <v>692</v>
      </c>
      <c r="W25" s="2" t="s">
        <v>1140</v>
      </c>
      <c r="X25" s="2" t="s">
        <v>314</v>
      </c>
      <c r="Y25" s="2" t="s">
        <v>1146</v>
      </c>
      <c r="Z25" s="2" t="s">
        <v>315</v>
      </c>
      <c r="AA25" s="2" t="s">
        <v>317</v>
      </c>
      <c r="AB25" s="2" t="s">
        <v>317</v>
      </c>
      <c r="AC25" s="2" t="s">
        <v>619</v>
      </c>
      <c r="AD25" s="2" t="s">
        <v>434</v>
      </c>
      <c r="AE25" s="2">
        <v>50813</v>
      </c>
      <c r="AF25" s="2" t="s">
        <v>633</v>
      </c>
      <c r="AG25" s="2" t="s">
        <v>426</v>
      </c>
      <c r="AH25" s="2" t="s">
        <v>937</v>
      </c>
      <c r="AI25" s="2">
        <v>2200000</v>
      </c>
      <c r="AJ25" s="2" t="s">
        <v>633</v>
      </c>
      <c r="AK25" s="2" t="s">
        <v>426</v>
      </c>
      <c r="AL25" s="2">
        <v>0</v>
      </c>
      <c r="AM25" s="2" t="s">
        <v>437</v>
      </c>
      <c r="AN25" s="2" t="s">
        <v>633</v>
      </c>
      <c r="AO25" s="2" t="s">
        <v>438</v>
      </c>
      <c r="AP25" s="2" t="s">
        <v>439</v>
      </c>
      <c r="AQ25" s="2" t="s">
        <v>426</v>
      </c>
      <c r="AR25" s="2">
        <v>10</v>
      </c>
      <c r="AS25" s="2">
        <v>0</v>
      </c>
      <c r="AT25" s="2">
        <v>0</v>
      </c>
      <c r="AU25" s="2">
        <v>0</v>
      </c>
      <c r="AV25" s="2">
        <v>2600000</v>
      </c>
      <c r="AW25" s="2">
        <v>2200000</v>
      </c>
      <c r="AX25" s="2">
        <v>400000</v>
      </c>
      <c r="AY25" s="2" t="s">
        <v>1147</v>
      </c>
      <c r="AZ25" s="2">
        <v>0</v>
      </c>
      <c r="BA25" s="2">
        <v>0</v>
      </c>
      <c r="BB25" s="2">
        <v>0</v>
      </c>
      <c r="BC25" s="2">
        <v>0</v>
      </c>
      <c r="BD25" s="2" t="s">
        <v>441</v>
      </c>
      <c r="BE25" s="2">
        <v>0</v>
      </c>
      <c r="BF25" s="2">
        <v>0</v>
      </c>
      <c r="BG25" s="2">
        <v>0</v>
      </c>
      <c r="BH25" s="2">
        <v>0</v>
      </c>
      <c r="BI25" s="2" t="s">
        <v>441</v>
      </c>
      <c r="BJ25" s="2">
        <v>0</v>
      </c>
      <c r="BK25" s="2">
        <v>0</v>
      </c>
      <c r="BL25" s="2">
        <v>0</v>
      </c>
      <c r="BM25" s="2">
        <v>0</v>
      </c>
      <c r="BN25" s="2" t="s">
        <v>441</v>
      </c>
      <c r="BO25" s="2">
        <v>0</v>
      </c>
      <c r="BP25" s="2">
        <v>2600000</v>
      </c>
      <c r="BQ25" s="2">
        <v>2200000</v>
      </c>
      <c r="BR25" s="2">
        <v>400000</v>
      </c>
      <c r="BS25" s="2" t="s">
        <v>1147</v>
      </c>
      <c r="BT25" s="2">
        <v>400000</v>
      </c>
      <c r="BU25" s="2" t="s">
        <v>1147</v>
      </c>
      <c r="BV25" s="2">
        <v>0</v>
      </c>
      <c r="BW25" s="2">
        <v>0</v>
      </c>
      <c r="BX25" s="2">
        <v>2600000</v>
      </c>
      <c r="BY25" s="2">
        <v>0</v>
      </c>
      <c r="BZ25" s="2">
        <v>0</v>
      </c>
      <c r="CA25" s="2">
        <v>0</v>
      </c>
      <c r="CB25" s="2">
        <v>2600000</v>
      </c>
      <c r="CC25" s="2">
        <v>2600000</v>
      </c>
      <c r="CD25" s="2">
        <v>400000</v>
      </c>
      <c r="CE25" s="2" t="s">
        <v>1147</v>
      </c>
      <c r="CF25" s="2" t="s">
        <v>426</v>
      </c>
      <c r="CG25" s="2">
        <v>0</v>
      </c>
      <c r="CH25" s="2" t="s">
        <v>426</v>
      </c>
      <c r="CI25" s="2">
        <v>0</v>
      </c>
      <c r="CJ25" s="2">
        <v>0</v>
      </c>
      <c r="CK25" s="2">
        <v>0</v>
      </c>
      <c r="CL25" s="2" t="s">
        <v>426</v>
      </c>
    </row>
    <row r="26" spans="1:90" s="2" customFormat="1">
      <c r="A26" s="2" t="s">
        <v>318</v>
      </c>
      <c r="B26" s="2" t="s">
        <v>319</v>
      </c>
      <c r="C26" s="2" t="s">
        <v>320</v>
      </c>
      <c r="D26" s="2">
        <v>2015</v>
      </c>
      <c r="E26" s="2" t="s">
        <v>321</v>
      </c>
      <c r="F26" s="2" t="s">
        <v>60</v>
      </c>
      <c r="G26" s="17">
        <v>300000</v>
      </c>
      <c r="H26" s="19">
        <f t="shared" si="0"/>
        <v>7.8947368421052628</v>
      </c>
      <c r="I26" s="2" t="s">
        <v>53</v>
      </c>
      <c r="J26" s="2" t="s">
        <v>59</v>
      </c>
      <c r="K26" s="2" t="s">
        <v>1148</v>
      </c>
      <c r="L26" s="2">
        <v>5968</v>
      </c>
      <c r="M26" s="2">
        <v>76981608</v>
      </c>
      <c r="N26" s="2" t="s">
        <v>760</v>
      </c>
      <c r="O26" s="2" t="s">
        <v>951</v>
      </c>
      <c r="P26" s="2" t="s">
        <v>426</v>
      </c>
      <c r="Q26" s="2" t="s">
        <v>952</v>
      </c>
      <c r="R26" s="2" t="s">
        <v>426</v>
      </c>
      <c r="S26" s="2" t="s">
        <v>488</v>
      </c>
      <c r="T26" s="2" t="s">
        <v>426</v>
      </c>
      <c r="U26" s="2" t="s">
        <v>953</v>
      </c>
      <c r="V26" s="2" t="s">
        <v>809</v>
      </c>
      <c r="W26" s="2" t="s">
        <v>509</v>
      </c>
      <c r="X26" s="2" t="s">
        <v>1149</v>
      </c>
      <c r="Y26" s="2" t="s">
        <v>1150</v>
      </c>
      <c r="Z26" s="2" t="s">
        <v>56</v>
      </c>
      <c r="AA26" s="2" t="s">
        <v>321</v>
      </c>
      <c r="AB26" s="2" t="s">
        <v>321</v>
      </c>
      <c r="AC26" s="2" t="s">
        <v>619</v>
      </c>
      <c r="AD26" s="2" t="s">
        <v>434</v>
      </c>
      <c r="AE26" s="2">
        <v>50812</v>
      </c>
      <c r="AF26" s="2" t="s">
        <v>633</v>
      </c>
      <c r="AG26" s="2" t="s">
        <v>426</v>
      </c>
      <c r="AH26" s="2" t="s">
        <v>1012</v>
      </c>
      <c r="AI26" s="2">
        <v>3500000</v>
      </c>
      <c r="AJ26" s="2" t="s">
        <v>633</v>
      </c>
      <c r="AK26" s="2" t="s">
        <v>426</v>
      </c>
      <c r="AL26" s="2">
        <v>0</v>
      </c>
      <c r="AM26" s="2" t="s">
        <v>437</v>
      </c>
      <c r="AN26" s="2" t="s">
        <v>633</v>
      </c>
      <c r="AO26" s="2" t="s">
        <v>438</v>
      </c>
      <c r="AP26" s="2" t="s">
        <v>439</v>
      </c>
      <c r="AQ26" s="2" t="s">
        <v>426</v>
      </c>
      <c r="AR26" s="2">
        <v>10</v>
      </c>
      <c r="AS26" s="2">
        <v>0</v>
      </c>
      <c r="AT26" s="2">
        <v>0</v>
      </c>
      <c r="AU26" s="2">
        <v>0</v>
      </c>
      <c r="AV26" s="2">
        <v>3800000</v>
      </c>
      <c r="AW26" s="2">
        <v>3500000</v>
      </c>
      <c r="AX26" s="2">
        <v>300000</v>
      </c>
      <c r="AY26" s="2" t="s">
        <v>1151</v>
      </c>
      <c r="AZ26" s="2">
        <v>0</v>
      </c>
      <c r="BA26" s="2">
        <v>0</v>
      </c>
      <c r="BB26" s="2">
        <v>0</v>
      </c>
      <c r="BC26" s="2">
        <v>0</v>
      </c>
      <c r="BD26" s="2" t="s">
        <v>441</v>
      </c>
      <c r="BE26" s="2">
        <v>0</v>
      </c>
      <c r="BF26" s="2">
        <v>0</v>
      </c>
      <c r="BG26" s="2">
        <v>0</v>
      </c>
      <c r="BH26" s="2">
        <v>0</v>
      </c>
      <c r="BI26" s="2" t="s">
        <v>441</v>
      </c>
      <c r="BJ26" s="2">
        <v>0</v>
      </c>
      <c r="BK26" s="2">
        <v>0</v>
      </c>
      <c r="BL26" s="2">
        <v>0</v>
      </c>
      <c r="BM26" s="2">
        <v>0</v>
      </c>
      <c r="BN26" s="2" t="s">
        <v>441</v>
      </c>
      <c r="BO26" s="2">
        <v>0</v>
      </c>
      <c r="BP26" s="2">
        <v>3800000</v>
      </c>
      <c r="BQ26" s="2">
        <v>3500000</v>
      </c>
      <c r="BR26" s="2">
        <v>300000</v>
      </c>
      <c r="BS26" s="2" t="s">
        <v>1151</v>
      </c>
      <c r="BT26" s="2">
        <v>300000</v>
      </c>
      <c r="BU26" s="2" t="s">
        <v>1151</v>
      </c>
      <c r="BV26" s="2">
        <v>0</v>
      </c>
      <c r="BW26" s="2">
        <v>0</v>
      </c>
      <c r="BX26" s="2">
        <v>3800000</v>
      </c>
      <c r="BY26" s="2">
        <v>0</v>
      </c>
      <c r="BZ26" s="2">
        <v>0</v>
      </c>
      <c r="CA26" s="2">
        <v>0</v>
      </c>
      <c r="CB26" s="2">
        <v>3800000</v>
      </c>
      <c r="CC26" s="2">
        <v>3800000</v>
      </c>
      <c r="CD26" s="2">
        <v>300000</v>
      </c>
      <c r="CE26" s="2" t="s">
        <v>1151</v>
      </c>
      <c r="CF26" s="2" t="s">
        <v>426</v>
      </c>
      <c r="CG26" s="2">
        <v>0</v>
      </c>
      <c r="CH26" s="2" t="s">
        <v>426</v>
      </c>
      <c r="CI26" s="2">
        <v>0</v>
      </c>
      <c r="CJ26" s="2">
        <v>0</v>
      </c>
      <c r="CK26" s="2">
        <v>0</v>
      </c>
      <c r="CL26" s="2" t="s">
        <v>426</v>
      </c>
    </row>
    <row r="27" spans="1:90">
      <c r="A27" t="s">
        <v>6</v>
      </c>
      <c r="B27" t="s">
        <v>9</v>
      </c>
      <c r="C27" t="s">
        <v>323</v>
      </c>
      <c r="D27">
        <v>2019</v>
      </c>
      <c r="E27" t="s">
        <v>324</v>
      </c>
      <c r="F27" t="s">
        <v>322</v>
      </c>
      <c r="G27" s="17">
        <v>1060111</v>
      </c>
      <c r="H27" s="19">
        <f t="shared" si="0"/>
        <v>15.612827687776141</v>
      </c>
      <c r="I27" t="s">
        <v>53</v>
      </c>
      <c r="J27" t="s">
        <v>5</v>
      </c>
      <c r="K27" t="s">
        <v>1152</v>
      </c>
      <c r="L27">
        <v>5971</v>
      </c>
      <c r="M27">
        <v>6025802</v>
      </c>
      <c r="N27" t="s">
        <v>423</v>
      </c>
      <c r="O27" t="s">
        <v>1153</v>
      </c>
      <c r="P27" t="s">
        <v>1154</v>
      </c>
      <c r="Q27" t="s">
        <v>426</v>
      </c>
      <c r="R27" t="s">
        <v>426</v>
      </c>
      <c r="S27" t="s">
        <v>549</v>
      </c>
      <c r="T27" t="s">
        <v>1155</v>
      </c>
      <c r="U27" t="s">
        <v>1156</v>
      </c>
      <c r="V27" t="s">
        <v>1157</v>
      </c>
      <c r="W27" t="s">
        <v>490</v>
      </c>
      <c r="X27" t="s">
        <v>491</v>
      </c>
      <c r="Y27" t="s">
        <v>985</v>
      </c>
      <c r="Z27" t="s">
        <v>39</v>
      </c>
      <c r="AA27" t="s">
        <v>324</v>
      </c>
      <c r="AB27" t="s">
        <v>324</v>
      </c>
      <c r="AC27" t="s">
        <v>619</v>
      </c>
      <c r="AD27" t="s">
        <v>434</v>
      </c>
      <c r="AE27">
        <v>50816</v>
      </c>
      <c r="AF27" t="s">
        <v>633</v>
      </c>
      <c r="AG27" t="s">
        <v>426</v>
      </c>
      <c r="AH27" t="s">
        <v>1012</v>
      </c>
      <c r="AI27">
        <v>5400000</v>
      </c>
      <c r="AJ27" t="s">
        <v>633</v>
      </c>
      <c r="AK27" t="s">
        <v>426</v>
      </c>
      <c r="AL27">
        <v>0</v>
      </c>
      <c r="AM27" t="s">
        <v>437</v>
      </c>
      <c r="AN27" t="s">
        <v>633</v>
      </c>
      <c r="AO27" t="s">
        <v>438</v>
      </c>
      <c r="AP27" t="s">
        <v>439</v>
      </c>
      <c r="AQ27" t="s">
        <v>426</v>
      </c>
      <c r="AR27">
        <v>36</v>
      </c>
      <c r="AS27">
        <v>0</v>
      </c>
      <c r="AT27">
        <v>0</v>
      </c>
      <c r="AU27">
        <v>-296830</v>
      </c>
      <c r="AV27">
        <v>6493170</v>
      </c>
      <c r="AW27">
        <v>5400000</v>
      </c>
      <c r="AX27">
        <v>1093170</v>
      </c>
      <c r="AY27" t="s">
        <v>1158</v>
      </c>
      <c r="AZ27">
        <v>0</v>
      </c>
      <c r="BA27">
        <v>296830</v>
      </c>
      <c r="BB27">
        <v>296830</v>
      </c>
      <c r="BC27">
        <v>0</v>
      </c>
      <c r="BD27" t="s">
        <v>441</v>
      </c>
      <c r="BE27">
        <v>0</v>
      </c>
      <c r="BF27">
        <v>0</v>
      </c>
      <c r="BG27">
        <v>0</v>
      </c>
      <c r="BH27">
        <v>0</v>
      </c>
      <c r="BI27" t="s">
        <v>441</v>
      </c>
      <c r="BJ27">
        <v>0</v>
      </c>
      <c r="BK27">
        <v>0</v>
      </c>
      <c r="BL27">
        <v>0</v>
      </c>
      <c r="BM27">
        <v>0</v>
      </c>
      <c r="BN27" t="s">
        <v>441</v>
      </c>
      <c r="BO27">
        <v>0</v>
      </c>
      <c r="BP27">
        <v>6790000</v>
      </c>
      <c r="BQ27">
        <v>5729889</v>
      </c>
      <c r="BR27">
        <v>1060111</v>
      </c>
      <c r="BS27" t="s">
        <v>1159</v>
      </c>
      <c r="BT27">
        <v>1060111</v>
      </c>
      <c r="BU27" t="s">
        <v>1159</v>
      </c>
      <c r="BV27">
        <v>0</v>
      </c>
      <c r="BW27">
        <v>0</v>
      </c>
      <c r="BX27">
        <v>6790000</v>
      </c>
      <c r="BY27">
        <v>0</v>
      </c>
      <c r="BZ27">
        <v>296830</v>
      </c>
      <c r="CA27">
        <v>0</v>
      </c>
      <c r="CB27">
        <v>6790000</v>
      </c>
      <c r="CC27">
        <v>6790000</v>
      </c>
      <c r="CD27" s="2">
        <v>1060111</v>
      </c>
      <c r="CE27" t="s">
        <v>1159</v>
      </c>
      <c r="CF27" t="s">
        <v>426</v>
      </c>
      <c r="CG27">
        <v>0</v>
      </c>
      <c r="CH27" t="s">
        <v>426</v>
      </c>
      <c r="CI27">
        <v>0</v>
      </c>
      <c r="CJ27">
        <v>0</v>
      </c>
      <c r="CK27">
        <v>33059</v>
      </c>
      <c r="CL27" t="s">
        <v>426</v>
      </c>
    </row>
    <row r="28" spans="1:90" s="2" customFormat="1">
      <c r="A28" s="2" t="s">
        <v>325</v>
      </c>
      <c r="B28" s="2" t="s">
        <v>326</v>
      </c>
      <c r="C28" s="2" t="s">
        <v>327</v>
      </c>
      <c r="D28" s="2">
        <v>2014</v>
      </c>
      <c r="E28" s="2" t="s">
        <v>328</v>
      </c>
      <c r="F28" s="2" t="s">
        <v>60</v>
      </c>
      <c r="G28" s="17">
        <v>750000</v>
      </c>
      <c r="H28" s="19">
        <f t="shared" si="0"/>
        <v>11.811023622047244</v>
      </c>
      <c r="I28" s="2" t="s">
        <v>53</v>
      </c>
      <c r="J28" s="2" t="s">
        <v>59</v>
      </c>
      <c r="K28" s="2" t="s">
        <v>1160</v>
      </c>
      <c r="L28" s="2">
        <v>5972</v>
      </c>
      <c r="M28" s="2">
        <v>76981608</v>
      </c>
      <c r="N28" s="2" t="s">
        <v>760</v>
      </c>
      <c r="O28" s="2" t="s">
        <v>951</v>
      </c>
      <c r="P28" s="2" t="s">
        <v>426</v>
      </c>
      <c r="Q28" s="2" t="s">
        <v>952</v>
      </c>
      <c r="R28" s="2" t="s">
        <v>426</v>
      </c>
      <c r="S28" s="2" t="s">
        <v>488</v>
      </c>
      <c r="T28" s="2" t="s">
        <v>426</v>
      </c>
      <c r="U28" s="2" t="s">
        <v>953</v>
      </c>
      <c r="V28" s="2" t="s">
        <v>1161</v>
      </c>
      <c r="W28" s="2" t="s">
        <v>463</v>
      </c>
      <c r="X28" s="2" t="s">
        <v>325</v>
      </c>
      <c r="Y28" s="2" t="s">
        <v>1162</v>
      </c>
      <c r="Z28" s="2" t="s">
        <v>64</v>
      </c>
      <c r="AA28" s="2" t="s">
        <v>328</v>
      </c>
      <c r="AB28" s="2" t="s">
        <v>328</v>
      </c>
      <c r="AC28" s="2" t="s">
        <v>619</v>
      </c>
      <c r="AD28" s="2" t="s">
        <v>434</v>
      </c>
      <c r="AE28" s="2">
        <v>50814</v>
      </c>
      <c r="AF28" s="2" t="s">
        <v>633</v>
      </c>
      <c r="AG28" s="2" t="s">
        <v>426</v>
      </c>
      <c r="AH28" s="2" t="s">
        <v>937</v>
      </c>
      <c r="AI28" s="2">
        <v>5600000</v>
      </c>
      <c r="AJ28" s="2" t="s">
        <v>633</v>
      </c>
      <c r="AK28" s="2" t="s">
        <v>426</v>
      </c>
      <c r="AL28" s="2">
        <v>0</v>
      </c>
      <c r="AM28" s="2" t="s">
        <v>437</v>
      </c>
      <c r="AN28" s="2" t="s">
        <v>633</v>
      </c>
      <c r="AO28" s="2" t="s">
        <v>438</v>
      </c>
      <c r="AP28" s="2" t="s">
        <v>439</v>
      </c>
      <c r="AQ28" s="2" t="s">
        <v>426</v>
      </c>
      <c r="AR28" s="2">
        <v>0</v>
      </c>
      <c r="AS28" s="2">
        <v>0</v>
      </c>
      <c r="AT28" s="2">
        <v>0</v>
      </c>
      <c r="AU28" s="2">
        <v>0</v>
      </c>
      <c r="AV28" s="2">
        <v>6350000</v>
      </c>
      <c r="AW28" s="2">
        <v>5600000</v>
      </c>
      <c r="AX28" s="2">
        <v>750000</v>
      </c>
      <c r="AY28" s="2" t="s">
        <v>1163</v>
      </c>
      <c r="AZ28" s="2">
        <v>0</v>
      </c>
      <c r="BA28" s="2">
        <v>0</v>
      </c>
      <c r="BB28" s="2">
        <v>0</v>
      </c>
      <c r="BC28" s="2">
        <v>0</v>
      </c>
      <c r="BD28" s="2" t="s">
        <v>441</v>
      </c>
      <c r="BE28" s="2">
        <v>0</v>
      </c>
      <c r="BF28" s="2">
        <v>0</v>
      </c>
      <c r="BG28" s="2">
        <v>0</v>
      </c>
      <c r="BH28" s="2">
        <v>0</v>
      </c>
      <c r="BI28" s="2" t="s">
        <v>441</v>
      </c>
      <c r="BJ28" s="2">
        <v>0</v>
      </c>
      <c r="BK28" s="2">
        <v>0</v>
      </c>
      <c r="BL28" s="2">
        <v>0</v>
      </c>
      <c r="BM28" s="2">
        <v>0</v>
      </c>
      <c r="BN28" s="2" t="s">
        <v>441</v>
      </c>
      <c r="BO28" s="2">
        <v>0</v>
      </c>
      <c r="BP28" s="2">
        <v>6350000</v>
      </c>
      <c r="BQ28" s="2">
        <v>5600000</v>
      </c>
      <c r="BR28" s="2">
        <v>750000</v>
      </c>
      <c r="BS28" s="2" t="s">
        <v>1163</v>
      </c>
      <c r="BT28" s="2">
        <v>750000</v>
      </c>
      <c r="BU28" s="2" t="s">
        <v>1163</v>
      </c>
      <c r="BV28" s="2">
        <v>0</v>
      </c>
      <c r="BW28" s="2">
        <v>0</v>
      </c>
      <c r="BX28" s="2">
        <v>6350000</v>
      </c>
      <c r="BY28" s="2">
        <v>0</v>
      </c>
      <c r="BZ28" s="2">
        <v>0</v>
      </c>
      <c r="CA28" s="2">
        <v>0</v>
      </c>
      <c r="CB28" s="2">
        <v>6350000</v>
      </c>
      <c r="CC28" s="2">
        <v>6350000</v>
      </c>
      <c r="CD28" s="2">
        <v>750000</v>
      </c>
      <c r="CE28" s="2" t="s">
        <v>1163</v>
      </c>
      <c r="CF28" s="2" t="s">
        <v>426</v>
      </c>
      <c r="CG28" s="2">
        <v>0</v>
      </c>
      <c r="CH28" s="2" t="s">
        <v>426</v>
      </c>
      <c r="CI28" s="2">
        <v>0</v>
      </c>
      <c r="CJ28" s="2">
        <v>0</v>
      </c>
      <c r="CK28" s="2">
        <v>0</v>
      </c>
      <c r="CL28" s="2" t="s">
        <v>426</v>
      </c>
    </row>
    <row r="29" spans="1:90">
      <c r="A29" t="s">
        <v>330</v>
      </c>
      <c r="B29" t="s">
        <v>331</v>
      </c>
      <c r="C29" t="s">
        <v>332</v>
      </c>
      <c r="D29">
        <v>2022</v>
      </c>
      <c r="E29" t="s">
        <v>333</v>
      </c>
      <c r="F29" t="s">
        <v>329</v>
      </c>
      <c r="G29" s="17">
        <v>900000</v>
      </c>
      <c r="H29" s="19">
        <f t="shared" si="0"/>
        <v>10.309278350515465</v>
      </c>
      <c r="I29" t="s">
        <v>53</v>
      </c>
      <c r="J29" t="s">
        <v>44</v>
      </c>
      <c r="K29" t="s">
        <v>1164</v>
      </c>
      <c r="L29">
        <v>5976</v>
      </c>
      <c r="M29">
        <v>9978475</v>
      </c>
      <c r="N29" t="s">
        <v>444</v>
      </c>
      <c r="O29" t="s">
        <v>1165</v>
      </c>
      <c r="P29" t="s">
        <v>426</v>
      </c>
      <c r="Q29" t="s">
        <v>1166</v>
      </c>
      <c r="R29" t="s">
        <v>426</v>
      </c>
      <c r="S29" t="s">
        <v>603</v>
      </c>
      <c r="T29" t="s">
        <v>1167</v>
      </c>
      <c r="U29" t="s">
        <v>1168</v>
      </c>
      <c r="V29" t="s">
        <v>1169</v>
      </c>
      <c r="W29" t="s">
        <v>463</v>
      </c>
      <c r="X29" t="s">
        <v>509</v>
      </c>
      <c r="Y29" t="s">
        <v>1170</v>
      </c>
      <c r="Z29" t="s">
        <v>50</v>
      </c>
      <c r="AA29" t="s">
        <v>333</v>
      </c>
      <c r="AB29" t="s">
        <v>333</v>
      </c>
      <c r="AC29" t="s">
        <v>619</v>
      </c>
      <c r="AD29" t="s">
        <v>434</v>
      </c>
      <c r="AE29">
        <v>50819</v>
      </c>
      <c r="AF29" t="s">
        <v>633</v>
      </c>
      <c r="AG29" t="s">
        <v>426</v>
      </c>
      <c r="AH29" t="s">
        <v>965</v>
      </c>
      <c r="AI29">
        <v>7500000</v>
      </c>
      <c r="AJ29" t="s">
        <v>633</v>
      </c>
      <c r="AK29" t="s">
        <v>426</v>
      </c>
      <c r="AL29">
        <v>0</v>
      </c>
      <c r="AM29" t="s">
        <v>437</v>
      </c>
      <c r="AN29" t="s">
        <v>633</v>
      </c>
      <c r="AO29" t="s">
        <v>481</v>
      </c>
      <c r="AP29" t="s">
        <v>439</v>
      </c>
      <c r="AQ29" t="s">
        <v>426</v>
      </c>
      <c r="AR29">
        <v>18</v>
      </c>
      <c r="AS29">
        <v>0</v>
      </c>
      <c r="AT29">
        <v>0</v>
      </c>
      <c r="AU29">
        <v>-590000</v>
      </c>
      <c r="AV29">
        <v>8400000</v>
      </c>
      <c r="AW29">
        <v>7500000</v>
      </c>
      <c r="AX29">
        <v>900000</v>
      </c>
      <c r="AY29" t="s">
        <v>1171</v>
      </c>
      <c r="AZ29">
        <v>0</v>
      </c>
      <c r="BA29">
        <v>330000</v>
      </c>
      <c r="BB29">
        <v>330000</v>
      </c>
      <c r="BC29">
        <v>0</v>
      </c>
      <c r="BD29" t="s">
        <v>441</v>
      </c>
      <c r="BE29">
        <v>0</v>
      </c>
      <c r="BF29">
        <v>0</v>
      </c>
      <c r="BG29">
        <v>0</v>
      </c>
      <c r="BH29">
        <v>0</v>
      </c>
      <c r="BI29" t="s">
        <v>441</v>
      </c>
      <c r="BJ29">
        <v>0</v>
      </c>
      <c r="BK29">
        <v>0</v>
      </c>
      <c r="BL29">
        <v>0</v>
      </c>
      <c r="BM29">
        <v>0</v>
      </c>
      <c r="BN29" t="s">
        <v>441</v>
      </c>
      <c r="BO29">
        <v>0</v>
      </c>
      <c r="BP29">
        <v>8730000</v>
      </c>
      <c r="BQ29">
        <v>7830000</v>
      </c>
      <c r="BR29">
        <v>900000</v>
      </c>
      <c r="BS29" t="s">
        <v>1172</v>
      </c>
      <c r="BT29">
        <v>900000</v>
      </c>
      <c r="BU29" t="s">
        <v>1172</v>
      </c>
      <c r="BV29">
        <v>0</v>
      </c>
      <c r="BW29">
        <v>0</v>
      </c>
      <c r="BX29">
        <v>8730000</v>
      </c>
      <c r="BY29">
        <v>0</v>
      </c>
      <c r="BZ29">
        <v>330000</v>
      </c>
      <c r="CA29">
        <v>0</v>
      </c>
      <c r="CB29">
        <v>8730000</v>
      </c>
      <c r="CC29">
        <v>8730000</v>
      </c>
      <c r="CD29" s="2">
        <v>900000</v>
      </c>
      <c r="CE29" t="s">
        <v>1172</v>
      </c>
      <c r="CF29" t="s">
        <v>426</v>
      </c>
      <c r="CG29">
        <v>0</v>
      </c>
      <c r="CH29" t="s">
        <v>426</v>
      </c>
      <c r="CI29">
        <v>0</v>
      </c>
      <c r="CJ29">
        <v>0</v>
      </c>
      <c r="CK29">
        <v>0</v>
      </c>
      <c r="CL29" t="s">
        <v>426</v>
      </c>
    </row>
    <row r="30" spans="1:90">
      <c r="A30" t="s">
        <v>6</v>
      </c>
      <c r="B30" t="s">
        <v>335</v>
      </c>
      <c r="C30" t="s">
        <v>336</v>
      </c>
      <c r="D30">
        <v>2017</v>
      </c>
      <c r="E30" t="s">
        <v>337</v>
      </c>
      <c r="F30" t="s">
        <v>334</v>
      </c>
      <c r="G30" s="17">
        <v>1500000</v>
      </c>
      <c r="H30" s="19">
        <f t="shared" si="0"/>
        <v>4.6061029635973538</v>
      </c>
      <c r="I30" t="s">
        <v>53</v>
      </c>
      <c r="J30" t="s">
        <v>44</v>
      </c>
      <c r="K30" t="s">
        <v>1173</v>
      </c>
      <c r="L30">
        <v>5980</v>
      </c>
      <c r="M30">
        <v>17087666</v>
      </c>
      <c r="N30" t="s">
        <v>611</v>
      </c>
      <c r="O30" t="s">
        <v>1174</v>
      </c>
      <c r="P30" t="s">
        <v>426</v>
      </c>
      <c r="Q30" t="s">
        <v>1175</v>
      </c>
      <c r="R30" t="s">
        <v>426</v>
      </c>
      <c r="S30" t="s">
        <v>447</v>
      </c>
      <c r="T30" t="s">
        <v>1176</v>
      </c>
      <c r="U30" t="s">
        <v>1177</v>
      </c>
      <c r="V30" t="s">
        <v>576</v>
      </c>
      <c r="W30" t="s">
        <v>1178</v>
      </c>
      <c r="X30" t="s">
        <v>1179</v>
      </c>
      <c r="Y30" t="s">
        <v>1180</v>
      </c>
      <c r="Z30" t="s">
        <v>51</v>
      </c>
      <c r="AA30" t="s">
        <v>337</v>
      </c>
      <c r="AB30" t="s">
        <v>337</v>
      </c>
      <c r="AC30" t="s">
        <v>619</v>
      </c>
      <c r="AD30" t="s">
        <v>434</v>
      </c>
      <c r="AE30">
        <v>50817</v>
      </c>
      <c r="AF30" t="s">
        <v>633</v>
      </c>
      <c r="AG30" t="s">
        <v>426</v>
      </c>
      <c r="AH30" t="s">
        <v>634</v>
      </c>
      <c r="AI30">
        <v>29000000</v>
      </c>
      <c r="AJ30" t="s">
        <v>898</v>
      </c>
      <c r="AK30" t="s">
        <v>426</v>
      </c>
      <c r="AL30">
        <v>0</v>
      </c>
      <c r="AM30" t="s">
        <v>437</v>
      </c>
      <c r="AN30" t="s">
        <v>898</v>
      </c>
      <c r="AO30" t="s">
        <v>481</v>
      </c>
      <c r="AP30" t="s">
        <v>439</v>
      </c>
      <c r="AQ30" t="s">
        <v>426</v>
      </c>
      <c r="AR30">
        <v>10</v>
      </c>
      <c r="AS30">
        <v>0</v>
      </c>
      <c r="AT30">
        <v>0</v>
      </c>
      <c r="AU30">
        <v>-2990000</v>
      </c>
      <c r="AV30">
        <v>32000000</v>
      </c>
      <c r="AW30">
        <v>29000000</v>
      </c>
      <c r="AX30">
        <v>3000000</v>
      </c>
      <c r="AY30" t="s">
        <v>1181</v>
      </c>
      <c r="AZ30">
        <v>0</v>
      </c>
      <c r="BA30">
        <v>565490</v>
      </c>
      <c r="BB30">
        <v>565490</v>
      </c>
      <c r="BC30">
        <v>0</v>
      </c>
      <c r="BD30" t="s">
        <v>441</v>
      </c>
      <c r="BE30">
        <v>0</v>
      </c>
      <c r="BF30">
        <v>0</v>
      </c>
      <c r="BG30">
        <v>0</v>
      </c>
      <c r="BH30">
        <v>0</v>
      </c>
      <c r="BI30" t="s">
        <v>441</v>
      </c>
      <c r="BJ30">
        <v>0</v>
      </c>
      <c r="BK30">
        <v>0</v>
      </c>
      <c r="BL30">
        <v>0</v>
      </c>
      <c r="BM30">
        <v>0</v>
      </c>
      <c r="BN30" t="s">
        <v>441</v>
      </c>
      <c r="BO30">
        <v>0</v>
      </c>
      <c r="BP30">
        <v>32565490</v>
      </c>
      <c r="BQ30">
        <v>29565490</v>
      </c>
      <c r="BR30">
        <v>3000000</v>
      </c>
      <c r="BS30" t="s">
        <v>1182</v>
      </c>
      <c r="BT30">
        <v>3000000</v>
      </c>
      <c r="BU30" t="s">
        <v>1182</v>
      </c>
      <c r="BV30">
        <v>0</v>
      </c>
      <c r="BW30">
        <v>0</v>
      </c>
      <c r="BX30">
        <v>32565490</v>
      </c>
      <c r="BY30">
        <v>0</v>
      </c>
      <c r="BZ30">
        <v>565490</v>
      </c>
      <c r="CA30">
        <v>0</v>
      </c>
      <c r="CB30">
        <v>32565490</v>
      </c>
      <c r="CC30">
        <v>32565490</v>
      </c>
      <c r="CD30" s="2">
        <v>3000000</v>
      </c>
      <c r="CE30" t="s">
        <v>1182</v>
      </c>
      <c r="CF30" t="s">
        <v>426</v>
      </c>
      <c r="CG30">
        <v>0</v>
      </c>
      <c r="CH30" t="s">
        <v>426</v>
      </c>
      <c r="CI30">
        <v>0</v>
      </c>
      <c r="CJ30">
        <v>0</v>
      </c>
      <c r="CK30">
        <v>0</v>
      </c>
      <c r="CL30" t="s">
        <v>426</v>
      </c>
    </row>
    <row r="31" spans="1:90">
      <c r="A31" t="s">
        <v>6</v>
      </c>
      <c r="B31" t="s">
        <v>54</v>
      </c>
      <c r="C31" t="s">
        <v>219</v>
      </c>
      <c r="D31">
        <v>2022</v>
      </c>
      <c r="E31" t="s">
        <v>220</v>
      </c>
      <c r="F31" t="s">
        <v>218</v>
      </c>
      <c r="G31" s="17">
        <v>728670</v>
      </c>
      <c r="H31" s="19">
        <f t="shared" si="0"/>
        <v>8.2897610921501705</v>
      </c>
      <c r="I31" t="s">
        <v>53</v>
      </c>
      <c r="J31" t="s">
        <v>8</v>
      </c>
      <c r="K31" t="s">
        <v>610</v>
      </c>
      <c r="L31">
        <v>5918</v>
      </c>
      <c r="M31">
        <v>18928528</v>
      </c>
      <c r="N31" t="s">
        <v>611</v>
      </c>
      <c r="O31" t="s">
        <v>612</v>
      </c>
      <c r="P31" t="s">
        <v>613</v>
      </c>
      <c r="Q31" t="s">
        <v>613</v>
      </c>
      <c r="R31" t="s">
        <v>426</v>
      </c>
      <c r="S31" t="s">
        <v>614</v>
      </c>
      <c r="T31" t="s">
        <v>475</v>
      </c>
      <c r="U31" t="s">
        <v>615</v>
      </c>
      <c r="V31" t="s">
        <v>616</v>
      </c>
      <c r="W31" t="s">
        <v>509</v>
      </c>
      <c r="X31" t="s">
        <v>617</v>
      </c>
      <c r="Y31" t="s">
        <v>618</v>
      </c>
      <c r="Z31" t="s">
        <v>35</v>
      </c>
      <c r="AA31" t="s">
        <v>220</v>
      </c>
      <c r="AB31" t="s">
        <v>220</v>
      </c>
      <c r="AC31" t="s">
        <v>619</v>
      </c>
      <c r="AD31" t="s">
        <v>434</v>
      </c>
      <c r="AE31">
        <v>88</v>
      </c>
      <c r="AF31" t="s">
        <v>585</v>
      </c>
      <c r="AG31" t="s">
        <v>426</v>
      </c>
      <c r="AH31" t="s">
        <v>620</v>
      </c>
      <c r="AI31">
        <v>7750000</v>
      </c>
      <c r="AJ31" t="s">
        <v>585</v>
      </c>
      <c r="AK31" t="s">
        <v>426</v>
      </c>
      <c r="AL31">
        <v>0</v>
      </c>
      <c r="AM31" t="s">
        <v>437</v>
      </c>
      <c r="AN31" t="s">
        <v>585</v>
      </c>
      <c r="AO31" t="s">
        <v>481</v>
      </c>
      <c r="AP31" t="s">
        <v>439</v>
      </c>
      <c r="AQ31" t="s">
        <v>621</v>
      </c>
      <c r="AR31">
        <v>29</v>
      </c>
      <c r="AS31">
        <v>0</v>
      </c>
      <c r="AT31">
        <v>0</v>
      </c>
      <c r="AU31">
        <v>-311330</v>
      </c>
      <c r="AV31">
        <v>8478670</v>
      </c>
      <c r="AW31">
        <v>7750000</v>
      </c>
      <c r="AX31">
        <v>728670</v>
      </c>
      <c r="AY31" t="s">
        <v>622</v>
      </c>
      <c r="AZ31">
        <v>0</v>
      </c>
      <c r="BA31">
        <v>311330</v>
      </c>
      <c r="BB31">
        <v>311330</v>
      </c>
      <c r="BC31">
        <v>0</v>
      </c>
      <c r="BD31" t="s">
        <v>441</v>
      </c>
      <c r="BE31">
        <v>0</v>
      </c>
      <c r="BF31">
        <v>0</v>
      </c>
      <c r="BG31">
        <v>0</v>
      </c>
      <c r="BH31">
        <v>0</v>
      </c>
      <c r="BI31" t="s">
        <v>441</v>
      </c>
      <c r="BJ31">
        <v>0</v>
      </c>
      <c r="BK31">
        <v>0</v>
      </c>
      <c r="BL31">
        <v>0</v>
      </c>
      <c r="BM31">
        <v>0</v>
      </c>
      <c r="BN31" t="s">
        <v>441</v>
      </c>
      <c r="BO31">
        <v>0</v>
      </c>
      <c r="BP31">
        <v>8790000</v>
      </c>
      <c r="BQ31">
        <v>8061330</v>
      </c>
      <c r="BR31">
        <v>728670</v>
      </c>
      <c r="BS31" t="s">
        <v>623</v>
      </c>
      <c r="BT31">
        <v>728670</v>
      </c>
      <c r="BU31" t="s">
        <v>623</v>
      </c>
      <c r="BV31">
        <v>0</v>
      </c>
      <c r="BW31">
        <v>4000000</v>
      </c>
      <c r="BX31">
        <v>4790000</v>
      </c>
      <c r="BY31">
        <v>0</v>
      </c>
      <c r="BZ31">
        <v>311330</v>
      </c>
      <c r="CA31">
        <v>0</v>
      </c>
      <c r="CB31">
        <v>8790000</v>
      </c>
      <c r="CC31">
        <v>8790000</v>
      </c>
      <c r="CD31" s="2">
        <v>728670</v>
      </c>
      <c r="CE31" t="s">
        <v>623</v>
      </c>
      <c r="CF31" t="s">
        <v>426</v>
      </c>
      <c r="CG31">
        <v>0</v>
      </c>
      <c r="CH31" t="s">
        <v>426</v>
      </c>
      <c r="CI31">
        <v>0</v>
      </c>
      <c r="CJ31">
        <v>0</v>
      </c>
      <c r="CK31">
        <v>0</v>
      </c>
      <c r="CL31" t="s">
        <v>426</v>
      </c>
    </row>
    <row r="32" spans="1:90">
      <c r="A32" t="s">
        <v>6</v>
      </c>
      <c r="B32" t="s">
        <v>222</v>
      </c>
      <c r="C32" t="s">
        <v>223</v>
      </c>
      <c r="D32">
        <v>2021</v>
      </c>
      <c r="E32" t="s">
        <v>224</v>
      </c>
      <c r="F32" t="s">
        <v>221</v>
      </c>
      <c r="G32" s="17">
        <v>477118</v>
      </c>
      <c r="H32" s="19">
        <f t="shared" si="0"/>
        <v>2.8186802150410588</v>
      </c>
      <c r="I32" t="s">
        <v>53</v>
      </c>
      <c r="J32" t="s">
        <v>8</v>
      </c>
      <c r="K32" t="s">
        <v>624</v>
      </c>
      <c r="L32">
        <v>5919</v>
      </c>
      <c r="M32">
        <v>6391594</v>
      </c>
      <c r="N32" t="s">
        <v>592</v>
      </c>
      <c r="O32" t="s">
        <v>625</v>
      </c>
      <c r="P32" t="s">
        <v>626</v>
      </c>
      <c r="Q32" t="s">
        <v>626</v>
      </c>
      <c r="R32" t="s">
        <v>426</v>
      </c>
      <c r="S32" t="s">
        <v>627</v>
      </c>
      <c r="T32" t="s">
        <v>628</v>
      </c>
      <c r="U32" t="s">
        <v>629</v>
      </c>
      <c r="V32" t="s">
        <v>630</v>
      </c>
      <c r="W32" t="s">
        <v>509</v>
      </c>
      <c r="X32" t="s">
        <v>631</v>
      </c>
      <c r="Y32" t="s">
        <v>632</v>
      </c>
      <c r="Z32" t="s">
        <v>11</v>
      </c>
      <c r="AA32" t="s">
        <v>224</v>
      </c>
      <c r="AB32" t="s">
        <v>224</v>
      </c>
      <c r="AC32" t="s">
        <v>619</v>
      </c>
      <c r="AD32" t="s">
        <v>434</v>
      </c>
      <c r="AE32">
        <v>89</v>
      </c>
      <c r="AF32" t="s">
        <v>633</v>
      </c>
      <c r="AG32" t="s">
        <v>426</v>
      </c>
      <c r="AH32" t="s">
        <v>634</v>
      </c>
      <c r="AI32">
        <v>16022882</v>
      </c>
      <c r="AJ32" t="s">
        <v>633</v>
      </c>
      <c r="AK32" t="s">
        <v>426</v>
      </c>
      <c r="AL32">
        <v>0</v>
      </c>
      <c r="AM32" t="s">
        <v>437</v>
      </c>
      <c r="AN32" t="s">
        <v>633</v>
      </c>
      <c r="AO32" t="s">
        <v>481</v>
      </c>
      <c r="AP32" t="s">
        <v>439</v>
      </c>
      <c r="AQ32" t="s">
        <v>426</v>
      </c>
      <c r="AR32">
        <v>73</v>
      </c>
      <c r="AS32">
        <v>0</v>
      </c>
      <c r="AT32">
        <v>0</v>
      </c>
      <c r="AU32">
        <v>-490000</v>
      </c>
      <c r="AV32">
        <v>16500000</v>
      </c>
      <c r="AW32">
        <v>16022882</v>
      </c>
      <c r="AX32">
        <v>477118</v>
      </c>
      <c r="AY32" t="s">
        <v>635</v>
      </c>
      <c r="AZ32">
        <v>0</v>
      </c>
      <c r="BA32">
        <v>427000</v>
      </c>
      <c r="BB32">
        <v>427000</v>
      </c>
      <c r="BC32">
        <v>0</v>
      </c>
      <c r="BD32" t="s">
        <v>441</v>
      </c>
      <c r="BE32">
        <v>0</v>
      </c>
      <c r="BF32">
        <v>0</v>
      </c>
      <c r="BG32">
        <v>0</v>
      </c>
      <c r="BH32">
        <v>0</v>
      </c>
      <c r="BI32" t="s">
        <v>441</v>
      </c>
      <c r="BJ32">
        <v>0</v>
      </c>
      <c r="BK32">
        <v>0</v>
      </c>
      <c r="BL32">
        <v>0</v>
      </c>
      <c r="BM32">
        <v>0</v>
      </c>
      <c r="BN32" t="s">
        <v>441</v>
      </c>
      <c r="BO32">
        <v>0</v>
      </c>
      <c r="BP32">
        <v>16927000</v>
      </c>
      <c r="BQ32">
        <v>16449882</v>
      </c>
      <c r="BR32">
        <v>477118</v>
      </c>
      <c r="BS32" t="s">
        <v>636</v>
      </c>
      <c r="BT32">
        <v>477118</v>
      </c>
      <c r="BU32" t="s">
        <v>636</v>
      </c>
      <c r="BV32">
        <v>0</v>
      </c>
      <c r="BW32">
        <v>0</v>
      </c>
      <c r="BX32">
        <v>16927000</v>
      </c>
      <c r="BY32">
        <v>0</v>
      </c>
      <c r="BZ32">
        <v>427000</v>
      </c>
      <c r="CA32">
        <v>0</v>
      </c>
      <c r="CB32">
        <v>16927000</v>
      </c>
      <c r="CC32">
        <v>16927000</v>
      </c>
      <c r="CD32" s="2">
        <v>477118</v>
      </c>
      <c r="CE32" t="s">
        <v>636</v>
      </c>
      <c r="CF32" t="s">
        <v>426</v>
      </c>
      <c r="CG32">
        <v>0</v>
      </c>
      <c r="CH32" t="s">
        <v>426</v>
      </c>
      <c r="CI32">
        <v>0</v>
      </c>
      <c r="CJ32">
        <v>0</v>
      </c>
      <c r="CK32">
        <v>0</v>
      </c>
      <c r="CL32" t="s">
        <v>426</v>
      </c>
    </row>
    <row r="33" spans="6:82" ht="15.75" thickBot="1">
      <c r="H33" s="1"/>
      <c r="CD33" s="1"/>
    </row>
    <row r="34" spans="6:82" ht="16.5" thickBot="1">
      <c r="F34" s="12" t="s">
        <v>1189</v>
      </c>
      <c r="G34" s="15">
        <f>SUM(G2:G32)</f>
        <v>36306117</v>
      </c>
      <c r="H34" s="13">
        <f>AVERAGE(H2:H32)</f>
        <v>9.8973478048683727</v>
      </c>
    </row>
    <row r="35" spans="6:82" ht="16.5" thickBot="1">
      <c r="F35" s="12" t="s">
        <v>1188</v>
      </c>
      <c r="G35" s="15">
        <f>AVERAGE(G2:G32)</f>
        <v>1171165.064516129</v>
      </c>
      <c r="H35" s="14"/>
    </row>
    <row r="36" spans="6:82" ht="16.5" thickBot="1">
      <c r="F36" s="12" t="s">
        <v>1190</v>
      </c>
      <c r="G36" s="15">
        <f>COUNTA(G2:G32)</f>
        <v>31</v>
      </c>
      <c r="H36" s="14"/>
    </row>
  </sheetData>
  <autoFilter ref="I1:CM32" xr:uid="{08986A32-36E8-4041-962A-4AC7083CDCE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4B8F-0C68-42FE-85E3-D391727D7648}">
  <dimension ref="A1:CJ51"/>
  <sheetViews>
    <sheetView topLeftCell="BW31" workbookViewId="0">
      <selection activeCell="BW38" sqref="A38:XFD51"/>
    </sheetView>
  </sheetViews>
  <sheetFormatPr baseColWidth="10" defaultRowHeight="15"/>
  <cols>
    <col min="1" max="1" width="20.85546875" bestFit="1" customWidth="1"/>
    <col min="2" max="2" width="29.7109375" bestFit="1" customWidth="1"/>
    <col min="3" max="3" width="18.140625" bestFit="1" customWidth="1"/>
    <col min="4" max="4" width="11.140625" bestFit="1" customWidth="1"/>
    <col min="5" max="5" width="51.7109375" bestFit="1" customWidth="1"/>
    <col min="6" max="6" width="9" bestFit="1" customWidth="1"/>
    <col min="7" max="7" width="6.28515625" bestFit="1" customWidth="1"/>
    <col min="8" max="8" width="48.5703125" bestFit="1" customWidth="1"/>
    <col min="9" max="9" width="18" bestFit="1" customWidth="1"/>
    <col min="10" max="10" width="14.42578125" bestFit="1" customWidth="1"/>
    <col min="11" max="11" width="18.42578125" bestFit="1" customWidth="1"/>
    <col min="12" max="12" width="18.28515625" bestFit="1" customWidth="1"/>
    <col min="13" max="13" width="17" bestFit="1" customWidth="1"/>
    <col min="14" max="14" width="34.85546875" bestFit="1" customWidth="1"/>
    <col min="15" max="15" width="13" bestFit="1" customWidth="1"/>
    <col min="16" max="16" width="19" bestFit="1" customWidth="1"/>
    <col min="17" max="17" width="13.5703125" bestFit="1" customWidth="1"/>
    <col min="18" max="18" width="9.7109375" bestFit="1" customWidth="1"/>
    <col min="19" max="19" width="43.5703125" bestFit="1" customWidth="1"/>
    <col min="20" max="20" width="14.42578125" bestFit="1" customWidth="1"/>
    <col min="21" max="21" width="22.85546875" bestFit="1" customWidth="1"/>
    <col min="22" max="22" width="14.140625" bestFit="1" customWidth="1"/>
    <col min="23" max="25" width="20.5703125" bestFit="1" customWidth="1"/>
    <col min="26" max="26" width="30" bestFit="1" customWidth="1"/>
    <col min="27" max="27" width="5" bestFit="1" customWidth="1"/>
    <col min="28" max="28" width="15.85546875" bestFit="1" customWidth="1"/>
    <col min="29" max="29" width="16.140625" bestFit="1" customWidth="1"/>
    <col min="30" max="30" width="17.140625" bestFit="1" customWidth="1"/>
    <col min="31" max="31" width="15.5703125" bestFit="1" customWidth="1"/>
    <col min="32" max="32" width="149.42578125" bestFit="1" customWidth="1"/>
    <col min="33" max="33" width="13.85546875" bestFit="1" customWidth="1"/>
    <col min="34" max="34" width="19.42578125" bestFit="1" customWidth="1"/>
    <col min="35" max="35" width="19.5703125" bestFit="1" customWidth="1"/>
    <col min="36" max="36" width="5.42578125" bestFit="1" customWidth="1"/>
    <col min="37" max="37" width="20.5703125" bestFit="1" customWidth="1"/>
    <col min="38" max="38" width="23.42578125" bestFit="1" customWidth="1"/>
    <col min="39" max="39" width="10.5703125" bestFit="1" customWidth="1"/>
    <col min="40" max="40" width="14" bestFit="1" customWidth="1"/>
    <col min="41" max="41" width="12.7109375" bestFit="1" customWidth="1"/>
    <col min="42" max="42" width="9.7109375" bestFit="1" customWidth="1"/>
    <col min="43" max="43" width="11" bestFit="1" customWidth="1"/>
    <col min="44" max="44" width="16.140625" bestFit="1" customWidth="1"/>
    <col min="45" max="45" width="17.28515625" bestFit="1" customWidth="1"/>
    <col min="46" max="46" width="13" bestFit="1" customWidth="1"/>
    <col min="47" max="47" width="12.7109375" bestFit="1" customWidth="1"/>
    <col min="48" max="48" width="14.42578125" bestFit="1" customWidth="1"/>
    <col min="49" max="49" width="8.28515625" bestFit="1" customWidth="1"/>
    <col min="50" max="50" width="26.85546875" bestFit="1" customWidth="1"/>
    <col min="51" max="51" width="14.42578125" bestFit="1" customWidth="1"/>
    <col min="52" max="52" width="14.140625" bestFit="1" customWidth="1"/>
    <col min="53" max="53" width="15.85546875" bestFit="1" customWidth="1"/>
    <col min="54" max="54" width="4" bestFit="1" customWidth="1"/>
    <col min="55" max="55" width="28.5703125" bestFit="1" customWidth="1"/>
    <col min="56" max="56" width="16.28515625" bestFit="1" customWidth="1"/>
    <col min="57" max="57" width="15.85546875" bestFit="1" customWidth="1"/>
    <col min="58" max="58" width="17.7109375" bestFit="1" customWidth="1"/>
    <col min="59" max="59" width="4" bestFit="1" customWidth="1"/>
    <col min="60" max="60" width="15.42578125" bestFit="1" customWidth="1"/>
    <col min="61" max="61" width="21.42578125" bestFit="1" customWidth="1"/>
    <col min="62" max="62" width="18.140625" bestFit="1" customWidth="1"/>
    <col min="63" max="63" width="19.85546875" bestFit="1" customWidth="1"/>
    <col min="64" max="64" width="20.140625" bestFit="1" customWidth="1"/>
    <col min="65" max="65" width="15.85546875" bestFit="1" customWidth="1"/>
    <col min="66" max="66" width="14.42578125" bestFit="1" customWidth="1"/>
    <col min="67" max="67" width="14.140625" bestFit="1" customWidth="1"/>
    <col min="68" max="68" width="32.85546875" bestFit="1" customWidth="1"/>
    <col min="69" max="69" width="8.28515625" bestFit="1" customWidth="1"/>
    <col min="70" max="70" width="19.7109375" bestFit="1" customWidth="1"/>
    <col min="71" max="71" width="32.85546875" bestFit="1" customWidth="1"/>
    <col min="72" max="72" width="12.140625" bestFit="1" customWidth="1"/>
    <col min="73" max="73" width="12.7109375" bestFit="1" customWidth="1"/>
    <col min="74" max="74" width="11.7109375" bestFit="1" customWidth="1"/>
    <col min="75" max="75" width="10.7109375" bestFit="1" customWidth="1"/>
    <col min="76" max="76" width="18.5703125" bestFit="1" customWidth="1"/>
    <col min="77" max="77" width="21.28515625" bestFit="1" customWidth="1"/>
    <col min="78" max="78" width="11.140625" bestFit="1" customWidth="1"/>
    <col min="79" max="79" width="26.5703125" bestFit="1" customWidth="1"/>
    <col min="80" max="80" width="16.28515625" bestFit="1" customWidth="1"/>
    <col min="81" max="81" width="20.140625" bestFit="1" customWidth="1"/>
    <col min="82" max="83" width="14.7109375" bestFit="1" customWidth="1"/>
    <col min="84" max="85" width="14.28515625" bestFit="1" customWidth="1"/>
    <col min="86" max="86" width="8" bestFit="1" customWidth="1"/>
    <col min="87" max="87" width="7" bestFit="1" customWidth="1"/>
    <col min="88" max="88" width="12.5703125" bestFit="1" customWidth="1"/>
  </cols>
  <sheetData>
    <row r="1" spans="1:88">
      <c r="A1" t="s">
        <v>0</v>
      </c>
      <c r="B1" t="s">
        <v>1</v>
      </c>
      <c r="C1" t="s">
        <v>338</v>
      </c>
      <c r="D1" t="s">
        <v>339</v>
      </c>
      <c r="E1" t="s">
        <v>2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349</v>
      </c>
      <c r="P1" t="s">
        <v>350</v>
      </c>
      <c r="Q1" t="s">
        <v>3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  <c r="AF1" t="s">
        <v>365</v>
      </c>
      <c r="AG1" t="s">
        <v>366</v>
      </c>
      <c r="AH1" t="s">
        <v>367</v>
      </c>
      <c r="AI1" t="s">
        <v>368</v>
      </c>
      <c r="AJ1" t="s">
        <v>369</v>
      </c>
      <c r="AK1" t="s">
        <v>370</v>
      </c>
      <c r="AL1" t="s">
        <v>371</v>
      </c>
      <c r="AM1" t="s">
        <v>372</v>
      </c>
      <c r="AN1" t="s">
        <v>373</v>
      </c>
      <c r="AO1" t="s">
        <v>374</v>
      </c>
      <c r="AP1" t="s">
        <v>375</v>
      </c>
      <c r="AQ1" t="s">
        <v>376</v>
      </c>
      <c r="AR1" t="s">
        <v>377</v>
      </c>
      <c r="AS1" t="s">
        <v>378</v>
      </c>
      <c r="AT1" t="s">
        <v>379</v>
      </c>
      <c r="AU1" t="s">
        <v>380</v>
      </c>
      <c r="AV1" t="s">
        <v>381</v>
      </c>
      <c r="AW1" t="s">
        <v>382</v>
      </c>
      <c r="AX1" t="s">
        <v>383</v>
      </c>
      <c r="AY1" t="s">
        <v>384</v>
      </c>
      <c r="AZ1" t="s">
        <v>385</v>
      </c>
      <c r="BA1" t="s">
        <v>386</v>
      </c>
      <c r="BB1" t="s">
        <v>387</v>
      </c>
      <c r="BC1" t="s">
        <v>388</v>
      </c>
      <c r="BD1" t="s">
        <v>389</v>
      </c>
      <c r="BE1" t="s">
        <v>390</v>
      </c>
      <c r="BF1" t="s">
        <v>391</v>
      </c>
      <c r="BG1" t="s">
        <v>392</v>
      </c>
      <c r="BH1" t="s">
        <v>393</v>
      </c>
      <c r="BI1" t="s">
        <v>394</v>
      </c>
      <c r="BJ1" t="s">
        <v>395</v>
      </c>
      <c r="BK1" t="s">
        <v>396</v>
      </c>
      <c r="BL1" t="s">
        <v>397</v>
      </c>
      <c r="BM1" t="s">
        <v>398</v>
      </c>
      <c r="BN1" t="s">
        <v>399</v>
      </c>
      <c r="BO1" t="s">
        <v>400</v>
      </c>
      <c r="BP1" t="s">
        <v>401</v>
      </c>
      <c r="BQ1" t="s">
        <v>402</v>
      </c>
      <c r="BR1" t="s">
        <v>403</v>
      </c>
      <c r="BS1" t="s">
        <v>404</v>
      </c>
      <c r="BT1" t="s">
        <v>405</v>
      </c>
      <c r="BU1" t="s">
        <v>406</v>
      </c>
      <c r="BV1" t="s">
        <v>407</v>
      </c>
      <c r="BW1" t="s">
        <v>408</v>
      </c>
      <c r="BX1" t="s">
        <v>409</v>
      </c>
      <c r="BY1" t="s">
        <v>410</v>
      </c>
      <c r="BZ1" t="s">
        <v>411</v>
      </c>
      <c r="CA1" t="s">
        <v>412</v>
      </c>
      <c r="CB1" s="46" t="s">
        <v>413</v>
      </c>
      <c r="CC1" t="s">
        <v>414</v>
      </c>
      <c r="CD1" t="s">
        <v>415</v>
      </c>
      <c r="CE1" t="s">
        <v>416</v>
      </c>
      <c r="CF1" t="s">
        <v>417</v>
      </c>
      <c r="CG1" t="s">
        <v>418</v>
      </c>
      <c r="CH1" t="s">
        <v>419</v>
      </c>
      <c r="CI1" t="s">
        <v>420</v>
      </c>
      <c r="CJ1" t="s">
        <v>421</v>
      </c>
    </row>
    <row r="2" spans="1:88">
      <c r="A2" t="s">
        <v>4</v>
      </c>
      <c r="B2" t="s">
        <v>5</v>
      </c>
      <c r="C2" t="s">
        <v>422</v>
      </c>
      <c r="D2">
        <v>5884</v>
      </c>
      <c r="E2" t="s">
        <v>84</v>
      </c>
      <c r="F2">
        <v>8133978</v>
      </c>
      <c r="G2" t="s">
        <v>423</v>
      </c>
      <c r="H2" t="s">
        <v>424</v>
      </c>
      <c r="I2" t="s">
        <v>425</v>
      </c>
      <c r="J2" t="s">
        <v>426</v>
      </c>
      <c r="K2" t="s">
        <v>426</v>
      </c>
      <c r="L2" t="s">
        <v>427</v>
      </c>
      <c r="M2" t="s">
        <v>428</v>
      </c>
      <c r="N2" t="s">
        <v>429</v>
      </c>
      <c r="O2" t="s">
        <v>426</v>
      </c>
      <c r="P2" t="s">
        <v>430</v>
      </c>
      <c r="Q2" t="s">
        <v>6</v>
      </c>
      <c r="R2" t="s">
        <v>431</v>
      </c>
      <c r="S2" t="s">
        <v>25</v>
      </c>
      <c r="T2" t="s">
        <v>432</v>
      </c>
      <c r="U2" t="s">
        <v>85</v>
      </c>
      <c r="V2" t="s">
        <v>86</v>
      </c>
      <c r="W2" t="s">
        <v>87</v>
      </c>
      <c r="X2" t="s">
        <v>87</v>
      </c>
      <c r="Y2" t="s">
        <v>87</v>
      </c>
      <c r="Z2" t="s">
        <v>433</v>
      </c>
      <c r="AA2">
        <v>2025</v>
      </c>
      <c r="AB2" t="s">
        <v>434</v>
      </c>
      <c r="AC2">
        <v>19842</v>
      </c>
      <c r="AD2" t="s">
        <v>435</v>
      </c>
      <c r="AE2" t="s">
        <v>426</v>
      </c>
      <c r="AF2" t="s">
        <v>436</v>
      </c>
      <c r="AG2">
        <v>16812766</v>
      </c>
      <c r="AH2" t="s">
        <v>435</v>
      </c>
      <c r="AI2" t="s">
        <v>426</v>
      </c>
      <c r="AJ2">
        <v>0</v>
      </c>
      <c r="AK2" t="s">
        <v>437</v>
      </c>
      <c r="AL2" t="s">
        <v>435</v>
      </c>
      <c r="AM2" t="s">
        <v>438</v>
      </c>
      <c r="AN2" t="s">
        <v>439</v>
      </c>
      <c r="AO2" t="s">
        <v>426</v>
      </c>
      <c r="AP2">
        <v>0</v>
      </c>
      <c r="AQ2">
        <v>18058824</v>
      </c>
      <c r="AR2">
        <v>-1470588</v>
      </c>
      <c r="AS2">
        <v>-632059</v>
      </c>
      <c r="AT2">
        <v>15956176</v>
      </c>
      <c r="AU2">
        <v>15161590</v>
      </c>
      <c r="AV2">
        <v>794586</v>
      </c>
      <c r="AW2" t="s">
        <v>1223</v>
      </c>
      <c r="AX2">
        <v>0</v>
      </c>
      <c r="AY2">
        <v>921320</v>
      </c>
      <c r="AZ2">
        <v>921320</v>
      </c>
      <c r="BA2">
        <v>0</v>
      </c>
      <c r="BB2" t="s">
        <v>441</v>
      </c>
      <c r="BC2">
        <v>0</v>
      </c>
      <c r="BD2">
        <v>0</v>
      </c>
      <c r="BE2">
        <v>0</v>
      </c>
      <c r="BF2">
        <v>0</v>
      </c>
      <c r="BG2" t="s">
        <v>441</v>
      </c>
      <c r="BH2">
        <v>0</v>
      </c>
      <c r="BI2">
        <v>0</v>
      </c>
      <c r="BJ2">
        <v>0</v>
      </c>
      <c r="BK2">
        <v>0</v>
      </c>
      <c r="BL2" t="s">
        <v>441</v>
      </c>
      <c r="BM2">
        <v>16588236</v>
      </c>
      <c r="BN2">
        <v>16877496</v>
      </c>
      <c r="BO2">
        <v>16257910</v>
      </c>
      <c r="BP2">
        <v>619586</v>
      </c>
      <c r="BQ2" t="s">
        <v>1224</v>
      </c>
      <c r="BR2">
        <v>619586</v>
      </c>
      <c r="BS2" t="s">
        <v>1224</v>
      </c>
      <c r="BT2">
        <v>0</v>
      </c>
      <c r="BU2">
        <v>0</v>
      </c>
      <c r="BV2">
        <v>19909170</v>
      </c>
      <c r="BW2">
        <v>0</v>
      </c>
      <c r="BX2">
        <v>921320</v>
      </c>
      <c r="BY2">
        <v>0</v>
      </c>
      <c r="BZ2">
        <v>19909169</v>
      </c>
      <c r="CA2">
        <v>16877496</v>
      </c>
      <c r="CB2">
        <v>619586</v>
      </c>
      <c r="CC2" t="s">
        <v>1224</v>
      </c>
      <c r="CD2" t="s">
        <v>426</v>
      </c>
      <c r="CE2">
        <v>0</v>
      </c>
      <c r="CF2" t="s">
        <v>426</v>
      </c>
      <c r="CG2">
        <v>0</v>
      </c>
      <c r="CH2">
        <v>1964900</v>
      </c>
      <c r="CI2">
        <v>175000</v>
      </c>
      <c r="CJ2" t="s">
        <v>426</v>
      </c>
    </row>
    <row r="3" spans="1:88">
      <c r="A3" t="s">
        <v>4</v>
      </c>
      <c r="B3" t="s">
        <v>88</v>
      </c>
      <c r="C3" t="s">
        <v>443</v>
      </c>
      <c r="D3">
        <v>5886</v>
      </c>
      <c r="E3" t="s">
        <v>89</v>
      </c>
      <c r="F3">
        <v>17467115</v>
      </c>
      <c r="G3" t="s">
        <v>444</v>
      </c>
      <c r="H3" t="s">
        <v>445</v>
      </c>
      <c r="I3" t="s">
        <v>426</v>
      </c>
      <c r="J3" t="s">
        <v>446</v>
      </c>
      <c r="K3" t="s">
        <v>426</v>
      </c>
      <c r="L3" t="s">
        <v>447</v>
      </c>
      <c r="M3" t="s">
        <v>448</v>
      </c>
      <c r="N3" t="s">
        <v>449</v>
      </c>
      <c r="O3" t="s">
        <v>426</v>
      </c>
      <c r="P3" t="s">
        <v>430</v>
      </c>
      <c r="Q3" t="s">
        <v>6</v>
      </c>
      <c r="R3" t="s">
        <v>431</v>
      </c>
      <c r="S3" t="s">
        <v>90</v>
      </c>
      <c r="T3" t="s">
        <v>450</v>
      </c>
      <c r="U3" t="s">
        <v>91</v>
      </c>
      <c r="V3" t="s">
        <v>92</v>
      </c>
      <c r="W3" t="s">
        <v>93</v>
      </c>
      <c r="X3" t="s">
        <v>93</v>
      </c>
      <c r="Y3" t="s">
        <v>426</v>
      </c>
      <c r="Z3" t="s">
        <v>433</v>
      </c>
      <c r="AA3">
        <v>2025</v>
      </c>
      <c r="AB3" t="s">
        <v>434</v>
      </c>
      <c r="AC3">
        <v>19831</v>
      </c>
      <c r="AD3" t="s">
        <v>451</v>
      </c>
      <c r="AE3" t="s">
        <v>426</v>
      </c>
      <c r="AF3" t="s">
        <v>452</v>
      </c>
      <c r="AG3">
        <v>18024933</v>
      </c>
      <c r="AH3" t="s">
        <v>453</v>
      </c>
      <c r="AI3" t="s">
        <v>426</v>
      </c>
      <c r="AJ3">
        <v>0</v>
      </c>
      <c r="AK3" t="s">
        <v>426</v>
      </c>
      <c r="AL3" t="s">
        <v>453</v>
      </c>
      <c r="AM3" t="s">
        <v>454</v>
      </c>
      <c r="AN3" t="s">
        <v>439</v>
      </c>
      <c r="AO3" t="s">
        <v>426</v>
      </c>
      <c r="AP3">
        <v>0</v>
      </c>
      <c r="AQ3">
        <v>19319328</v>
      </c>
      <c r="AR3">
        <v>-2605042</v>
      </c>
      <c r="AS3">
        <v>-621849</v>
      </c>
      <c r="AT3">
        <v>16092437</v>
      </c>
      <c r="AU3">
        <v>15487984</v>
      </c>
      <c r="AV3">
        <v>604453</v>
      </c>
      <c r="AW3" t="s">
        <v>1225</v>
      </c>
      <c r="AX3">
        <v>0</v>
      </c>
      <c r="AY3">
        <v>924879</v>
      </c>
      <c r="AZ3">
        <v>924879</v>
      </c>
      <c r="BA3">
        <v>0</v>
      </c>
      <c r="BB3" t="s">
        <v>441</v>
      </c>
      <c r="BC3">
        <v>0</v>
      </c>
      <c r="BD3">
        <v>0</v>
      </c>
      <c r="BE3">
        <v>0</v>
      </c>
      <c r="BF3">
        <v>0</v>
      </c>
      <c r="BG3" t="s">
        <v>441</v>
      </c>
      <c r="BH3">
        <v>0</v>
      </c>
      <c r="BI3">
        <v>0</v>
      </c>
      <c r="BJ3">
        <v>0</v>
      </c>
      <c r="BK3">
        <v>0</v>
      </c>
      <c r="BL3" t="s">
        <v>441</v>
      </c>
      <c r="BM3">
        <v>16714286</v>
      </c>
      <c r="BN3">
        <v>17017316</v>
      </c>
      <c r="BO3">
        <v>16587863</v>
      </c>
      <c r="BP3">
        <v>429453</v>
      </c>
      <c r="BQ3" t="s">
        <v>1226</v>
      </c>
      <c r="BR3">
        <v>429453</v>
      </c>
      <c r="BS3" t="s">
        <v>1226</v>
      </c>
      <c r="BT3">
        <v>0</v>
      </c>
      <c r="BU3">
        <v>0</v>
      </c>
      <c r="BV3">
        <v>20074879</v>
      </c>
      <c r="BW3">
        <v>0</v>
      </c>
      <c r="BX3">
        <v>924879</v>
      </c>
      <c r="BY3">
        <v>0</v>
      </c>
      <c r="BZ3">
        <v>20074879</v>
      </c>
      <c r="CA3">
        <v>17017316</v>
      </c>
      <c r="CB3">
        <v>429453</v>
      </c>
      <c r="CC3" t="s">
        <v>1226</v>
      </c>
      <c r="CD3" t="s">
        <v>426</v>
      </c>
      <c r="CE3">
        <v>0</v>
      </c>
      <c r="CF3" t="s">
        <v>426</v>
      </c>
      <c r="CG3">
        <v>0</v>
      </c>
      <c r="CH3">
        <v>3018970</v>
      </c>
      <c r="CI3">
        <v>175000</v>
      </c>
      <c r="CJ3" t="s">
        <v>426</v>
      </c>
    </row>
    <row r="4" spans="1:88">
      <c r="A4" t="s">
        <v>4</v>
      </c>
      <c r="B4" t="s">
        <v>5</v>
      </c>
      <c r="C4" t="s">
        <v>457</v>
      </c>
      <c r="D4">
        <v>5891</v>
      </c>
      <c r="E4" t="s">
        <v>94</v>
      </c>
      <c r="F4">
        <v>10265209</v>
      </c>
      <c r="G4" t="s">
        <v>458</v>
      </c>
      <c r="H4" t="s">
        <v>459</v>
      </c>
      <c r="I4" t="s">
        <v>460</v>
      </c>
      <c r="J4" t="s">
        <v>426</v>
      </c>
      <c r="K4" t="s">
        <v>426</v>
      </c>
      <c r="L4" t="s">
        <v>427</v>
      </c>
      <c r="M4" t="s">
        <v>461</v>
      </c>
      <c r="N4" t="s">
        <v>462</v>
      </c>
      <c r="O4" t="s">
        <v>426</v>
      </c>
      <c r="P4" t="s">
        <v>463</v>
      </c>
      <c r="Q4" t="s">
        <v>6</v>
      </c>
      <c r="R4" t="s">
        <v>464</v>
      </c>
      <c r="S4" t="s">
        <v>23</v>
      </c>
      <c r="T4" t="s">
        <v>465</v>
      </c>
      <c r="U4" t="s">
        <v>31</v>
      </c>
      <c r="V4" t="s">
        <v>95</v>
      </c>
      <c r="W4" t="s">
        <v>96</v>
      </c>
      <c r="X4" t="s">
        <v>96</v>
      </c>
      <c r="Y4" t="s">
        <v>426</v>
      </c>
      <c r="Z4" t="s">
        <v>433</v>
      </c>
      <c r="AA4">
        <v>2025</v>
      </c>
      <c r="AB4" t="s">
        <v>434</v>
      </c>
      <c r="AC4">
        <v>19823</v>
      </c>
      <c r="AD4" t="s">
        <v>466</v>
      </c>
      <c r="AE4" t="s">
        <v>426</v>
      </c>
      <c r="AF4" t="s">
        <v>467</v>
      </c>
      <c r="AG4">
        <v>22640647</v>
      </c>
      <c r="AH4" t="s">
        <v>466</v>
      </c>
      <c r="AI4" t="s">
        <v>426</v>
      </c>
      <c r="AJ4">
        <v>0</v>
      </c>
      <c r="AK4" t="s">
        <v>437</v>
      </c>
      <c r="AL4" t="s">
        <v>466</v>
      </c>
      <c r="AM4" t="s">
        <v>438</v>
      </c>
      <c r="AN4" t="s">
        <v>439</v>
      </c>
      <c r="AO4" t="s">
        <v>468</v>
      </c>
      <c r="AP4">
        <v>0</v>
      </c>
      <c r="AQ4">
        <v>24529412</v>
      </c>
      <c r="AR4">
        <v>-3571429</v>
      </c>
      <c r="AS4">
        <v>-981176</v>
      </c>
      <c r="AT4">
        <v>19976807</v>
      </c>
      <c r="AU4">
        <v>19076026</v>
      </c>
      <c r="AV4">
        <v>900781</v>
      </c>
      <c r="AW4" t="s">
        <v>1227</v>
      </c>
      <c r="AX4">
        <v>0</v>
      </c>
      <c r="AY4">
        <v>1186750</v>
      </c>
      <c r="AZ4">
        <v>1186750</v>
      </c>
      <c r="BA4">
        <v>0</v>
      </c>
      <c r="BB4" t="s">
        <v>441</v>
      </c>
      <c r="BC4">
        <v>0</v>
      </c>
      <c r="BD4">
        <v>0</v>
      </c>
      <c r="BE4">
        <v>0</v>
      </c>
      <c r="BF4">
        <v>0</v>
      </c>
      <c r="BG4" t="s">
        <v>441</v>
      </c>
      <c r="BH4">
        <v>0</v>
      </c>
      <c r="BI4">
        <v>0</v>
      </c>
      <c r="BJ4">
        <v>0</v>
      </c>
      <c r="BK4">
        <v>0</v>
      </c>
      <c r="BL4" t="s">
        <v>441</v>
      </c>
      <c r="BM4">
        <v>20957983</v>
      </c>
      <c r="BN4">
        <v>21163557</v>
      </c>
      <c r="BO4">
        <v>20437776</v>
      </c>
      <c r="BP4">
        <v>725781</v>
      </c>
      <c r="BQ4" t="s">
        <v>1228</v>
      </c>
      <c r="BR4">
        <v>725781</v>
      </c>
      <c r="BS4" t="s">
        <v>1228</v>
      </c>
      <c r="BT4">
        <v>0</v>
      </c>
      <c r="BU4">
        <v>11000000</v>
      </c>
      <c r="BV4">
        <v>13959150</v>
      </c>
      <c r="BW4">
        <v>0</v>
      </c>
      <c r="BX4">
        <v>1186750</v>
      </c>
      <c r="BY4">
        <v>0</v>
      </c>
      <c r="BZ4">
        <v>24959150</v>
      </c>
      <c r="CA4">
        <v>21163557</v>
      </c>
      <c r="CB4">
        <v>725781</v>
      </c>
      <c r="CC4" t="s">
        <v>1228</v>
      </c>
      <c r="CD4" t="s">
        <v>426</v>
      </c>
      <c r="CE4">
        <v>0</v>
      </c>
      <c r="CF4" t="s">
        <v>426</v>
      </c>
      <c r="CG4">
        <v>0</v>
      </c>
      <c r="CH4">
        <v>4241900</v>
      </c>
      <c r="CI4">
        <v>175000</v>
      </c>
      <c r="CJ4" t="s">
        <v>426</v>
      </c>
    </row>
    <row r="5" spans="1:88">
      <c r="A5" t="s">
        <v>4</v>
      </c>
      <c r="B5" t="s">
        <v>8</v>
      </c>
      <c r="C5" t="s">
        <v>471</v>
      </c>
      <c r="D5">
        <v>5892</v>
      </c>
      <c r="E5" t="s">
        <v>97</v>
      </c>
      <c r="F5">
        <v>10324690</v>
      </c>
      <c r="G5" t="s">
        <v>423</v>
      </c>
      <c r="H5" t="s">
        <v>472</v>
      </c>
      <c r="I5" t="s">
        <v>426</v>
      </c>
      <c r="J5" t="s">
        <v>473</v>
      </c>
      <c r="K5" t="s">
        <v>426</v>
      </c>
      <c r="L5" t="s">
        <v>474</v>
      </c>
      <c r="M5" t="s">
        <v>475</v>
      </c>
      <c r="N5" t="s">
        <v>476</v>
      </c>
      <c r="O5" t="s">
        <v>426</v>
      </c>
      <c r="P5" t="s">
        <v>430</v>
      </c>
      <c r="Q5" t="s">
        <v>6</v>
      </c>
      <c r="R5" t="s">
        <v>464</v>
      </c>
      <c r="S5" t="s">
        <v>29</v>
      </c>
      <c r="T5" t="s">
        <v>477</v>
      </c>
      <c r="U5" t="s">
        <v>11</v>
      </c>
      <c r="V5" t="s">
        <v>98</v>
      </c>
      <c r="W5" t="s">
        <v>99</v>
      </c>
      <c r="X5" t="s">
        <v>99</v>
      </c>
      <c r="Y5" t="s">
        <v>426</v>
      </c>
      <c r="Z5" t="s">
        <v>433</v>
      </c>
      <c r="AA5">
        <v>2025</v>
      </c>
      <c r="AB5" t="s">
        <v>434</v>
      </c>
      <c r="AC5">
        <v>19846</v>
      </c>
      <c r="AD5" t="s">
        <v>478</v>
      </c>
      <c r="AE5" t="s">
        <v>426</v>
      </c>
      <c r="AF5" t="s">
        <v>479</v>
      </c>
      <c r="AG5">
        <v>15342740</v>
      </c>
      <c r="AH5" t="s">
        <v>480</v>
      </c>
      <c r="AI5" t="s">
        <v>426</v>
      </c>
      <c r="AJ5">
        <v>0</v>
      </c>
      <c r="AK5" t="s">
        <v>437</v>
      </c>
      <c r="AL5" t="s">
        <v>480</v>
      </c>
      <c r="AM5" t="s">
        <v>481</v>
      </c>
      <c r="AN5" t="s">
        <v>439</v>
      </c>
      <c r="AO5" t="s">
        <v>426</v>
      </c>
      <c r="AP5">
        <v>71</v>
      </c>
      <c r="AQ5">
        <v>0</v>
      </c>
      <c r="AR5">
        <v>-3109244</v>
      </c>
      <c r="AS5">
        <v>-613445</v>
      </c>
      <c r="AT5">
        <v>13831933</v>
      </c>
      <c r="AU5">
        <v>13367950</v>
      </c>
      <c r="AV5">
        <v>463983</v>
      </c>
      <c r="AW5" t="s">
        <v>1229</v>
      </c>
      <c r="AX5">
        <v>0</v>
      </c>
      <c r="AY5">
        <v>717696</v>
      </c>
      <c r="AZ5">
        <v>717696</v>
      </c>
      <c r="BA5">
        <v>0</v>
      </c>
      <c r="BB5" t="s">
        <v>441</v>
      </c>
      <c r="BC5">
        <v>0</v>
      </c>
      <c r="BD5">
        <v>0</v>
      </c>
      <c r="BE5">
        <v>0</v>
      </c>
      <c r="BF5">
        <v>0</v>
      </c>
      <c r="BG5" t="s">
        <v>441</v>
      </c>
      <c r="BH5">
        <v>0</v>
      </c>
      <c r="BI5">
        <v>0</v>
      </c>
      <c r="BJ5">
        <v>0</v>
      </c>
      <c r="BK5">
        <v>0</v>
      </c>
      <c r="BL5" t="s">
        <v>441</v>
      </c>
      <c r="BM5">
        <v>-3109244</v>
      </c>
      <c r="BN5">
        <v>14549629</v>
      </c>
      <c r="BO5">
        <v>14235646</v>
      </c>
      <c r="BP5">
        <v>313983</v>
      </c>
      <c r="BQ5" t="s">
        <v>1230</v>
      </c>
      <c r="BR5">
        <v>313983</v>
      </c>
      <c r="BS5" t="s">
        <v>1230</v>
      </c>
      <c r="BT5">
        <v>0</v>
      </c>
      <c r="BU5">
        <v>0</v>
      </c>
      <c r="BV5">
        <v>17177696</v>
      </c>
      <c r="BW5">
        <v>0</v>
      </c>
      <c r="BX5">
        <v>717696</v>
      </c>
      <c r="BY5">
        <v>0</v>
      </c>
      <c r="BZ5">
        <v>17177696</v>
      </c>
      <c r="CA5">
        <v>14549629</v>
      </c>
      <c r="CB5">
        <v>313983</v>
      </c>
      <c r="CC5" t="s">
        <v>1230</v>
      </c>
      <c r="CD5" t="s">
        <v>426</v>
      </c>
      <c r="CE5">
        <v>0</v>
      </c>
      <c r="CF5" t="s">
        <v>426</v>
      </c>
      <c r="CG5">
        <v>0</v>
      </c>
      <c r="CH5">
        <v>2350000</v>
      </c>
      <c r="CI5">
        <v>150000</v>
      </c>
      <c r="CJ5" t="s">
        <v>426</v>
      </c>
    </row>
    <row r="6" spans="1:88">
      <c r="A6" t="s">
        <v>4</v>
      </c>
      <c r="B6" t="s">
        <v>5</v>
      </c>
      <c r="C6" t="s">
        <v>484</v>
      </c>
      <c r="D6">
        <v>5894</v>
      </c>
      <c r="E6" t="s">
        <v>100</v>
      </c>
      <c r="F6">
        <v>76296875</v>
      </c>
      <c r="G6" t="s">
        <v>485</v>
      </c>
      <c r="H6" t="s">
        <v>486</v>
      </c>
      <c r="I6" t="s">
        <v>487</v>
      </c>
      <c r="J6" t="s">
        <v>426</v>
      </c>
      <c r="K6" t="s">
        <v>426</v>
      </c>
      <c r="L6" t="s">
        <v>488</v>
      </c>
      <c r="M6" t="s">
        <v>426</v>
      </c>
      <c r="N6" t="s">
        <v>489</v>
      </c>
      <c r="O6" t="s">
        <v>426</v>
      </c>
      <c r="P6" t="s">
        <v>490</v>
      </c>
      <c r="Q6" t="s">
        <v>6</v>
      </c>
      <c r="R6" t="s">
        <v>491</v>
      </c>
      <c r="S6" t="s">
        <v>24</v>
      </c>
      <c r="T6" t="s">
        <v>492</v>
      </c>
      <c r="U6" t="s">
        <v>7</v>
      </c>
      <c r="V6" t="s">
        <v>101</v>
      </c>
      <c r="W6" t="s">
        <v>102</v>
      </c>
      <c r="X6" t="s">
        <v>102</v>
      </c>
      <c r="Y6" t="s">
        <v>102</v>
      </c>
      <c r="Z6" t="s">
        <v>433</v>
      </c>
      <c r="AA6">
        <v>2025</v>
      </c>
      <c r="AB6" t="s">
        <v>434</v>
      </c>
      <c r="AC6">
        <v>19857</v>
      </c>
      <c r="AD6" t="s">
        <v>493</v>
      </c>
      <c r="AE6" t="s">
        <v>426</v>
      </c>
      <c r="AF6" t="s">
        <v>494</v>
      </c>
      <c r="AG6">
        <v>11047360</v>
      </c>
      <c r="AH6" t="s">
        <v>493</v>
      </c>
      <c r="AI6" t="s">
        <v>426</v>
      </c>
      <c r="AJ6">
        <v>0</v>
      </c>
      <c r="AK6" t="s">
        <v>437</v>
      </c>
      <c r="AL6" t="s">
        <v>493</v>
      </c>
      <c r="AM6" t="s">
        <v>438</v>
      </c>
      <c r="AN6" t="s">
        <v>439</v>
      </c>
      <c r="AO6" t="s">
        <v>426</v>
      </c>
      <c r="AP6">
        <v>0</v>
      </c>
      <c r="AQ6">
        <v>12640000</v>
      </c>
      <c r="AR6">
        <v>-2050000</v>
      </c>
      <c r="AS6">
        <v>-814000</v>
      </c>
      <c r="AT6">
        <v>9776000</v>
      </c>
      <c r="AU6">
        <v>9629293</v>
      </c>
      <c r="AV6">
        <v>146707</v>
      </c>
      <c r="AW6" t="s">
        <v>495</v>
      </c>
      <c r="AX6">
        <v>0</v>
      </c>
      <c r="AY6">
        <v>381560</v>
      </c>
      <c r="AZ6">
        <v>381560</v>
      </c>
      <c r="BA6">
        <v>0</v>
      </c>
      <c r="BB6" t="s">
        <v>441</v>
      </c>
      <c r="BC6">
        <v>0</v>
      </c>
      <c r="BD6">
        <v>0</v>
      </c>
      <c r="BE6">
        <v>0</v>
      </c>
      <c r="BF6">
        <v>0</v>
      </c>
      <c r="BG6" t="s">
        <v>441</v>
      </c>
      <c r="BH6">
        <v>0</v>
      </c>
      <c r="BI6">
        <v>0</v>
      </c>
      <c r="BJ6">
        <v>0</v>
      </c>
      <c r="BK6">
        <v>0</v>
      </c>
      <c r="BL6" t="s">
        <v>441</v>
      </c>
      <c r="BM6">
        <v>10590000</v>
      </c>
      <c r="BN6">
        <v>10157560</v>
      </c>
      <c r="BO6">
        <v>10100853</v>
      </c>
      <c r="BP6">
        <v>56707</v>
      </c>
      <c r="BQ6" t="s">
        <v>1231</v>
      </c>
      <c r="BR6">
        <v>56707</v>
      </c>
      <c r="BS6" t="s">
        <v>1231</v>
      </c>
      <c r="BT6">
        <v>0</v>
      </c>
      <c r="BU6">
        <v>0</v>
      </c>
      <c r="BV6">
        <v>12015000</v>
      </c>
      <c r="BW6">
        <v>0</v>
      </c>
      <c r="BX6">
        <v>381560</v>
      </c>
      <c r="BY6">
        <v>0</v>
      </c>
      <c r="BZ6">
        <v>12015000</v>
      </c>
      <c r="CA6">
        <v>10157560</v>
      </c>
      <c r="CB6">
        <v>56707</v>
      </c>
      <c r="CC6" t="s">
        <v>1231</v>
      </c>
      <c r="CD6" t="s">
        <v>426</v>
      </c>
      <c r="CE6">
        <v>0</v>
      </c>
      <c r="CF6" t="s">
        <v>426</v>
      </c>
      <c r="CG6">
        <v>0</v>
      </c>
      <c r="CH6">
        <v>1687500</v>
      </c>
      <c r="CI6">
        <v>90000</v>
      </c>
      <c r="CJ6" t="s">
        <v>426</v>
      </c>
    </row>
    <row r="7" spans="1:88">
      <c r="A7" t="s">
        <v>4</v>
      </c>
      <c r="B7" t="s">
        <v>5</v>
      </c>
      <c r="C7" t="s">
        <v>497</v>
      </c>
      <c r="D7">
        <v>5895</v>
      </c>
      <c r="E7" t="s">
        <v>100</v>
      </c>
      <c r="F7">
        <v>76296875</v>
      </c>
      <c r="G7" t="s">
        <v>485</v>
      </c>
      <c r="H7" t="s">
        <v>486</v>
      </c>
      <c r="I7" t="s">
        <v>487</v>
      </c>
      <c r="J7" t="s">
        <v>426</v>
      </c>
      <c r="K7" t="s">
        <v>426</v>
      </c>
      <c r="L7" t="s">
        <v>488</v>
      </c>
      <c r="M7" t="s">
        <v>426</v>
      </c>
      <c r="N7" t="s">
        <v>489</v>
      </c>
      <c r="O7" t="s">
        <v>426</v>
      </c>
      <c r="P7" t="s">
        <v>490</v>
      </c>
      <c r="Q7" t="s">
        <v>6</v>
      </c>
      <c r="R7" t="s">
        <v>491</v>
      </c>
      <c r="S7" t="s">
        <v>24</v>
      </c>
      <c r="T7" t="s">
        <v>492</v>
      </c>
      <c r="U7" t="s">
        <v>7</v>
      </c>
      <c r="V7" t="s">
        <v>103</v>
      </c>
      <c r="W7" t="s">
        <v>104</v>
      </c>
      <c r="X7" t="s">
        <v>104</v>
      </c>
      <c r="Y7" t="s">
        <v>104</v>
      </c>
      <c r="Z7" t="s">
        <v>433</v>
      </c>
      <c r="AA7">
        <v>2025</v>
      </c>
      <c r="AB7" t="s">
        <v>434</v>
      </c>
      <c r="AC7">
        <v>19858</v>
      </c>
      <c r="AD7" t="s">
        <v>493</v>
      </c>
      <c r="AE7" t="s">
        <v>426</v>
      </c>
      <c r="AF7" t="s">
        <v>498</v>
      </c>
      <c r="AG7">
        <v>11047360</v>
      </c>
      <c r="AH7" t="s">
        <v>493</v>
      </c>
      <c r="AI7" t="s">
        <v>426</v>
      </c>
      <c r="AJ7">
        <v>0</v>
      </c>
      <c r="AK7" t="s">
        <v>437</v>
      </c>
      <c r="AL7" t="s">
        <v>493</v>
      </c>
      <c r="AM7" t="s">
        <v>499</v>
      </c>
      <c r="AN7" t="s">
        <v>439</v>
      </c>
      <c r="AO7" t="s">
        <v>426</v>
      </c>
      <c r="AP7">
        <v>0</v>
      </c>
      <c r="AQ7">
        <v>12640000</v>
      </c>
      <c r="AR7">
        <v>-2050000</v>
      </c>
      <c r="AS7">
        <v>0</v>
      </c>
      <c r="AT7">
        <v>10590000</v>
      </c>
      <c r="AU7">
        <v>9629293</v>
      </c>
      <c r="AV7">
        <v>960707</v>
      </c>
      <c r="AW7" t="s">
        <v>500</v>
      </c>
      <c r="AX7">
        <v>0</v>
      </c>
      <c r="AY7">
        <v>381560</v>
      </c>
      <c r="AZ7">
        <v>381560</v>
      </c>
      <c r="BA7">
        <v>0</v>
      </c>
      <c r="BB7" t="s">
        <v>441</v>
      </c>
      <c r="BC7">
        <v>0</v>
      </c>
      <c r="BD7">
        <v>0</v>
      </c>
      <c r="BE7">
        <v>0</v>
      </c>
      <c r="BF7">
        <v>0</v>
      </c>
      <c r="BG7" t="s">
        <v>441</v>
      </c>
      <c r="BH7">
        <v>0</v>
      </c>
      <c r="BI7">
        <v>0</v>
      </c>
      <c r="BJ7">
        <v>0</v>
      </c>
      <c r="BK7">
        <v>0</v>
      </c>
      <c r="BL7" t="s">
        <v>441</v>
      </c>
      <c r="BM7">
        <v>10590000</v>
      </c>
      <c r="BN7">
        <v>10971560</v>
      </c>
      <c r="BO7">
        <v>10100853</v>
      </c>
      <c r="BP7">
        <v>870707</v>
      </c>
      <c r="BQ7" t="s">
        <v>1232</v>
      </c>
      <c r="BR7">
        <v>870707</v>
      </c>
      <c r="BS7" t="s">
        <v>1232</v>
      </c>
      <c r="BT7">
        <v>0</v>
      </c>
      <c r="BU7">
        <v>0</v>
      </c>
      <c r="BV7">
        <v>14657464</v>
      </c>
      <c r="BW7">
        <v>-1673804</v>
      </c>
      <c r="BX7">
        <v>381560</v>
      </c>
      <c r="BY7">
        <v>0</v>
      </c>
      <c r="BZ7">
        <v>12983660</v>
      </c>
      <c r="CA7">
        <v>10971560</v>
      </c>
      <c r="CB7">
        <v>870707</v>
      </c>
      <c r="CC7" t="s">
        <v>1232</v>
      </c>
      <c r="CD7" t="s">
        <v>426</v>
      </c>
      <c r="CE7">
        <v>0</v>
      </c>
      <c r="CF7" t="s">
        <v>426</v>
      </c>
      <c r="CG7">
        <v>0</v>
      </c>
      <c r="CH7">
        <v>1687500</v>
      </c>
      <c r="CI7">
        <v>90000</v>
      </c>
      <c r="CJ7" t="s">
        <v>426</v>
      </c>
    </row>
    <row r="8" spans="1:88">
      <c r="A8" t="s">
        <v>4</v>
      </c>
      <c r="B8" t="s">
        <v>5</v>
      </c>
      <c r="C8" t="s">
        <v>502</v>
      </c>
      <c r="D8">
        <v>5896</v>
      </c>
      <c r="E8" t="s">
        <v>105</v>
      </c>
      <c r="F8">
        <v>17833721</v>
      </c>
      <c r="G8" t="s">
        <v>503</v>
      </c>
      <c r="H8" t="s">
        <v>504</v>
      </c>
      <c r="I8" t="s">
        <v>505</v>
      </c>
      <c r="J8" t="s">
        <v>426</v>
      </c>
      <c r="K8" t="s">
        <v>426</v>
      </c>
      <c r="L8" t="s">
        <v>506</v>
      </c>
      <c r="M8" t="s">
        <v>507</v>
      </c>
      <c r="N8" t="s">
        <v>508</v>
      </c>
      <c r="O8" t="s">
        <v>426</v>
      </c>
      <c r="P8" t="s">
        <v>509</v>
      </c>
      <c r="Q8" t="s">
        <v>6</v>
      </c>
      <c r="R8" t="s">
        <v>510</v>
      </c>
      <c r="S8" t="s">
        <v>106</v>
      </c>
      <c r="T8" t="s">
        <v>511</v>
      </c>
      <c r="U8" t="s">
        <v>7</v>
      </c>
      <c r="V8" t="s">
        <v>107</v>
      </c>
      <c r="W8" t="s">
        <v>108</v>
      </c>
      <c r="X8" t="s">
        <v>108</v>
      </c>
      <c r="Y8" t="s">
        <v>108</v>
      </c>
      <c r="Z8" t="s">
        <v>433</v>
      </c>
      <c r="AA8">
        <v>2025</v>
      </c>
      <c r="AB8" t="s">
        <v>434</v>
      </c>
      <c r="AC8">
        <v>19841</v>
      </c>
      <c r="AD8" t="s">
        <v>435</v>
      </c>
      <c r="AE8" t="s">
        <v>426</v>
      </c>
      <c r="AF8" t="s">
        <v>512</v>
      </c>
      <c r="AG8">
        <v>13320731</v>
      </c>
      <c r="AH8" t="s">
        <v>513</v>
      </c>
      <c r="AI8" t="s">
        <v>426</v>
      </c>
      <c r="AJ8">
        <v>0</v>
      </c>
      <c r="AK8" t="s">
        <v>437</v>
      </c>
      <c r="AL8" t="s">
        <v>513</v>
      </c>
      <c r="AM8" t="s">
        <v>438</v>
      </c>
      <c r="AN8" t="s">
        <v>439</v>
      </c>
      <c r="AO8" t="s">
        <v>426</v>
      </c>
      <c r="AP8">
        <v>0</v>
      </c>
      <c r="AQ8">
        <v>14277311</v>
      </c>
      <c r="AR8">
        <v>-2100840</v>
      </c>
      <c r="AS8">
        <v>-428571</v>
      </c>
      <c r="AT8">
        <v>11747899</v>
      </c>
      <c r="AU8">
        <v>11345942</v>
      </c>
      <c r="AV8">
        <v>401957</v>
      </c>
      <c r="AW8" t="s">
        <v>1233</v>
      </c>
      <c r="AX8">
        <v>0</v>
      </c>
      <c r="AY8">
        <v>564820</v>
      </c>
      <c r="AZ8">
        <v>564820</v>
      </c>
      <c r="BA8">
        <v>0</v>
      </c>
      <c r="BB8" t="s">
        <v>441</v>
      </c>
      <c r="BC8">
        <v>0</v>
      </c>
      <c r="BD8">
        <v>0</v>
      </c>
      <c r="BE8">
        <v>0</v>
      </c>
      <c r="BF8">
        <v>0</v>
      </c>
      <c r="BG8" t="s">
        <v>441</v>
      </c>
      <c r="BH8">
        <v>0</v>
      </c>
      <c r="BI8">
        <v>0</v>
      </c>
      <c r="BJ8">
        <v>0</v>
      </c>
      <c r="BK8">
        <v>0</v>
      </c>
      <c r="BL8" t="s">
        <v>441</v>
      </c>
      <c r="BM8">
        <v>12176471</v>
      </c>
      <c r="BN8">
        <v>12312719</v>
      </c>
      <c r="BO8">
        <v>12000762</v>
      </c>
      <c r="BP8">
        <v>311957</v>
      </c>
      <c r="BQ8" t="s">
        <v>1234</v>
      </c>
      <c r="BR8">
        <v>311957</v>
      </c>
      <c r="BS8" t="s">
        <v>1234</v>
      </c>
      <c r="BT8">
        <v>0</v>
      </c>
      <c r="BU8">
        <v>0</v>
      </c>
      <c r="BV8">
        <v>14544820</v>
      </c>
      <c r="BW8">
        <v>0</v>
      </c>
      <c r="BX8">
        <v>564820</v>
      </c>
      <c r="BY8">
        <v>0</v>
      </c>
      <c r="BZ8">
        <v>14544820</v>
      </c>
      <c r="CA8">
        <v>12312719</v>
      </c>
      <c r="CB8">
        <v>311957</v>
      </c>
      <c r="CC8" t="s">
        <v>1234</v>
      </c>
      <c r="CD8" t="s">
        <v>426</v>
      </c>
      <c r="CE8">
        <v>0</v>
      </c>
      <c r="CF8" t="s">
        <v>426</v>
      </c>
      <c r="CG8">
        <v>0</v>
      </c>
      <c r="CH8">
        <v>2350000</v>
      </c>
      <c r="CI8">
        <v>90000</v>
      </c>
      <c r="CJ8" t="s">
        <v>426</v>
      </c>
    </row>
    <row r="9" spans="1:88">
      <c r="A9" t="s">
        <v>4</v>
      </c>
      <c r="B9" t="s">
        <v>5</v>
      </c>
      <c r="C9" t="s">
        <v>516</v>
      </c>
      <c r="D9">
        <v>5898</v>
      </c>
      <c r="E9" t="s">
        <v>109</v>
      </c>
      <c r="F9">
        <v>76193982</v>
      </c>
      <c r="G9" t="s">
        <v>423</v>
      </c>
      <c r="H9" t="s">
        <v>517</v>
      </c>
      <c r="I9" t="s">
        <v>518</v>
      </c>
      <c r="J9" t="s">
        <v>426</v>
      </c>
      <c r="K9" t="s">
        <v>426</v>
      </c>
      <c r="L9" t="s">
        <v>488</v>
      </c>
      <c r="M9" t="s">
        <v>426</v>
      </c>
      <c r="N9" t="s">
        <v>519</v>
      </c>
      <c r="O9" t="s">
        <v>426</v>
      </c>
      <c r="P9" t="s">
        <v>490</v>
      </c>
      <c r="Q9" t="s">
        <v>6</v>
      </c>
      <c r="R9" t="s">
        <v>491</v>
      </c>
      <c r="S9" t="s">
        <v>24</v>
      </c>
      <c r="T9" t="s">
        <v>492</v>
      </c>
      <c r="U9" t="s">
        <v>7</v>
      </c>
      <c r="V9" t="s">
        <v>110</v>
      </c>
      <c r="W9" t="s">
        <v>111</v>
      </c>
      <c r="X9" t="s">
        <v>111</v>
      </c>
      <c r="Y9" t="s">
        <v>111</v>
      </c>
      <c r="Z9" t="s">
        <v>433</v>
      </c>
      <c r="AA9">
        <v>2025</v>
      </c>
      <c r="AB9" t="s">
        <v>434</v>
      </c>
      <c r="AC9">
        <v>19852</v>
      </c>
      <c r="AD9" t="s">
        <v>520</v>
      </c>
      <c r="AE9" t="s">
        <v>426</v>
      </c>
      <c r="AF9" t="s">
        <v>521</v>
      </c>
      <c r="AG9">
        <v>11047360</v>
      </c>
      <c r="AH9" t="s">
        <v>522</v>
      </c>
      <c r="AI9" t="s">
        <v>426</v>
      </c>
      <c r="AJ9">
        <v>0</v>
      </c>
      <c r="AK9" t="s">
        <v>437</v>
      </c>
      <c r="AL9" t="s">
        <v>522</v>
      </c>
      <c r="AM9" t="s">
        <v>438</v>
      </c>
      <c r="AN9" t="s">
        <v>439</v>
      </c>
      <c r="AO9" t="s">
        <v>426</v>
      </c>
      <c r="AP9">
        <v>0</v>
      </c>
      <c r="AQ9">
        <v>12640000</v>
      </c>
      <c r="AR9">
        <v>-2050000</v>
      </c>
      <c r="AS9">
        <v>-814000</v>
      </c>
      <c r="AT9">
        <v>9776000</v>
      </c>
      <c r="AU9">
        <v>9671310</v>
      </c>
      <c r="AV9">
        <v>104690</v>
      </c>
      <c r="AW9" t="s">
        <v>1235</v>
      </c>
      <c r="AX9">
        <v>0</v>
      </c>
      <c r="AY9">
        <v>299330</v>
      </c>
      <c r="AZ9">
        <v>299330</v>
      </c>
      <c r="BA9">
        <v>0</v>
      </c>
      <c r="BB9" t="s">
        <v>441</v>
      </c>
      <c r="BC9">
        <v>0</v>
      </c>
      <c r="BD9">
        <v>0</v>
      </c>
      <c r="BE9">
        <v>0</v>
      </c>
      <c r="BF9">
        <v>0</v>
      </c>
      <c r="BG9" t="s">
        <v>441</v>
      </c>
      <c r="BH9">
        <v>0</v>
      </c>
      <c r="BI9">
        <v>0</v>
      </c>
      <c r="BJ9">
        <v>0</v>
      </c>
      <c r="BK9">
        <v>0</v>
      </c>
      <c r="BL9" t="s">
        <v>441</v>
      </c>
      <c r="BM9">
        <v>10590000</v>
      </c>
      <c r="BN9">
        <v>10075330</v>
      </c>
      <c r="BO9">
        <v>10060640</v>
      </c>
      <c r="BP9">
        <v>14690</v>
      </c>
      <c r="BQ9" t="s">
        <v>1236</v>
      </c>
      <c r="BR9">
        <v>14690</v>
      </c>
      <c r="BS9" t="s">
        <v>1236</v>
      </c>
      <c r="BT9">
        <v>0</v>
      </c>
      <c r="BU9">
        <v>0</v>
      </c>
      <c r="BV9">
        <v>11932770</v>
      </c>
      <c r="BW9">
        <v>0</v>
      </c>
      <c r="BX9">
        <v>299330</v>
      </c>
      <c r="BY9">
        <v>0</v>
      </c>
      <c r="BZ9">
        <v>11932770</v>
      </c>
      <c r="CA9">
        <v>10075330</v>
      </c>
      <c r="CB9">
        <v>14690</v>
      </c>
      <c r="CC9" t="s">
        <v>1236</v>
      </c>
      <c r="CD9" t="s">
        <v>426</v>
      </c>
      <c r="CE9">
        <v>0</v>
      </c>
      <c r="CF9" t="s">
        <v>426</v>
      </c>
      <c r="CG9">
        <v>0</v>
      </c>
      <c r="CH9">
        <v>1637500</v>
      </c>
      <c r="CI9">
        <v>90000</v>
      </c>
      <c r="CJ9" t="s">
        <v>426</v>
      </c>
    </row>
    <row r="10" spans="1:88">
      <c r="A10" t="s">
        <v>4</v>
      </c>
      <c r="B10" t="s">
        <v>30</v>
      </c>
      <c r="C10" t="s">
        <v>525</v>
      </c>
      <c r="D10">
        <v>5899</v>
      </c>
      <c r="E10" t="s">
        <v>112</v>
      </c>
      <c r="F10">
        <v>20465426</v>
      </c>
      <c r="G10" t="s">
        <v>423</v>
      </c>
      <c r="H10" t="s">
        <v>526</v>
      </c>
      <c r="I10" t="s">
        <v>527</v>
      </c>
      <c r="J10" t="s">
        <v>527</v>
      </c>
      <c r="K10" t="s">
        <v>426</v>
      </c>
      <c r="L10" t="s">
        <v>528</v>
      </c>
      <c r="M10" t="s">
        <v>529</v>
      </c>
      <c r="N10" t="s">
        <v>530</v>
      </c>
      <c r="O10" t="s">
        <v>426</v>
      </c>
      <c r="P10" t="s">
        <v>509</v>
      </c>
      <c r="Q10" t="s">
        <v>6</v>
      </c>
      <c r="R10" t="s">
        <v>510</v>
      </c>
      <c r="S10" t="s">
        <v>19</v>
      </c>
      <c r="T10" t="s">
        <v>531</v>
      </c>
      <c r="U10" t="s">
        <v>11</v>
      </c>
      <c r="V10" t="s">
        <v>113</v>
      </c>
      <c r="W10" t="s">
        <v>114</v>
      </c>
      <c r="X10" t="s">
        <v>114</v>
      </c>
      <c r="Y10" t="s">
        <v>114</v>
      </c>
      <c r="Z10" t="s">
        <v>433</v>
      </c>
      <c r="AA10">
        <v>2024</v>
      </c>
      <c r="AB10" t="s">
        <v>434</v>
      </c>
      <c r="AC10">
        <v>19853</v>
      </c>
      <c r="AD10" t="s">
        <v>520</v>
      </c>
      <c r="AE10" t="s">
        <v>426</v>
      </c>
      <c r="AF10" t="s">
        <v>532</v>
      </c>
      <c r="AG10">
        <v>14537722</v>
      </c>
      <c r="AH10" t="s">
        <v>520</v>
      </c>
      <c r="AI10" t="s">
        <v>426</v>
      </c>
      <c r="AJ10">
        <v>0</v>
      </c>
      <c r="AK10" t="s">
        <v>533</v>
      </c>
      <c r="AL10" t="s">
        <v>520</v>
      </c>
      <c r="AM10" t="s">
        <v>438</v>
      </c>
      <c r="AN10" t="s">
        <v>439</v>
      </c>
      <c r="AO10" t="s">
        <v>426</v>
      </c>
      <c r="AP10">
        <v>224</v>
      </c>
      <c r="AQ10">
        <v>15957983</v>
      </c>
      <c r="AR10">
        <v>-2923773</v>
      </c>
      <c r="AS10">
        <v>0</v>
      </c>
      <c r="AT10">
        <v>13034210</v>
      </c>
      <c r="AU10">
        <v>12655873</v>
      </c>
      <c r="AV10">
        <v>378337</v>
      </c>
      <c r="AW10" t="s">
        <v>1237</v>
      </c>
      <c r="AX10">
        <v>0</v>
      </c>
      <c r="AY10">
        <v>489290</v>
      </c>
      <c r="AZ10">
        <v>489290</v>
      </c>
      <c r="BA10">
        <v>0</v>
      </c>
      <c r="BB10" t="s">
        <v>441</v>
      </c>
      <c r="BC10">
        <v>0</v>
      </c>
      <c r="BD10">
        <v>0</v>
      </c>
      <c r="BE10">
        <v>0</v>
      </c>
      <c r="BF10">
        <v>0</v>
      </c>
      <c r="BG10" t="s">
        <v>441</v>
      </c>
      <c r="BH10">
        <v>0</v>
      </c>
      <c r="BI10">
        <v>0</v>
      </c>
      <c r="BJ10">
        <v>0</v>
      </c>
      <c r="BK10">
        <v>0</v>
      </c>
      <c r="BL10" t="s">
        <v>441</v>
      </c>
      <c r="BM10">
        <v>13034210</v>
      </c>
      <c r="BN10">
        <v>13523500</v>
      </c>
      <c r="BO10">
        <v>13235163</v>
      </c>
      <c r="BP10">
        <v>288337</v>
      </c>
      <c r="BQ10" t="s">
        <v>1238</v>
      </c>
      <c r="BR10">
        <v>288337</v>
      </c>
      <c r="BS10" t="s">
        <v>1238</v>
      </c>
      <c r="BT10">
        <v>0</v>
      </c>
      <c r="BU10">
        <v>0</v>
      </c>
      <c r="BV10">
        <v>16000000</v>
      </c>
      <c r="BW10">
        <v>0</v>
      </c>
      <c r="BX10">
        <v>489290</v>
      </c>
      <c r="BY10">
        <v>0</v>
      </c>
      <c r="BZ10">
        <v>16000000</v>
      </c>
      <c r="CA10">
        <v>13523500</v>
      </c>
      <c r="CB10">
        <v>288337</v>
      </c>
      <c r="CC10" t="s">
        <v>1238</v>
      </c>
      <c r="CD10" t="s">
        <v>426</v>
      </c>
      <c r="CE10">
        <v>0</v>
      </c>
      <c r="CF10" t="s">
        <v>426</v>
      </c>
      <c r="CG10">
        <v>0</v>
      </c>
      <c r="CH10">
        <v>2239400</v>
      </c>
      <c r="CI10">
        <v>90000</v>
      </c>
      <c r="CJ10" t="s">
        <v>426</v>
      </c>
    </row>
    <row r="11" spans="1:88">
      <c r="A11" t="s">
        <v>4</v>
      </c>
      <c r="B11" t="s">
        <v>8</v>
      </c>
      <c r="C11" t="s">
        <v>536</v>
      </c>
      <c r="D11">
        <v>5900</v>
      </c>
      <c r="E11" t="s">
        <v>67</v>
      </c>
      <c r="F11">
        <v>76257832</v>
      </c>
      <c r="G11" t="s">
        <v>537</v>
      </c>
      <c r="H11" t="s">
        <v>538</v>
      </c>
      <c r="I11" t="s">
        <v>426</v>
      </c>
      <c r="J11" t="s">
        <v>539</v>
      </c>
      <c r="K11" t="s">
        <v>426</v>
      </c>
      <c r="L11" t="s">
        <v>540</v>
      </c>
      <c r="M11" t="s">
        <v>475</v>
      </c>
      <c r="N11" t="s">
        <v>541</v>
      </c>
      <c r="O11" t="s">
        <v>426</v>
      </c>
      <c r="P11" t="s">
        <v>490</v>
      </c>
      <c r="Q11" t="s">
        <v>6</v>
      </c>
      <c r="R11" t="s">
        <v>491</v>
      </c>
      <c r="S11" t="s">
        <v>24</v>
      </c>
      <c r="T11" t="s">
        <v>492</v>
      </c>
      <c r="U11" t="s">
        <v>7</v>
      </c>
      <c r="V11" t="s">
        <v>115</v>
      </c>
      <c r="W11" t="s">
        <v>116</v>
      </c>
      <c r="X11" t="s">
        <v>116</v>
      </c>
      <c r="Y11" t="s">
        <v>116</v>
      </c>
      <c r="Z11" t="s">
        <v>433</v>
      </c>
      <c r="AA11">
        <v>2025</v>
      </c>
      <c r="AB11" t="s">
        <v>434</v>
      </c>
      <c r="AC11">
        <v>19843</v>
      </c>
      <c r="AD11" t="s">
        <v>478</v>
      </c>
      <c r="AE11" t="s">
        <v>426</v>
      </c>
      <c r="AF11" t="s">
        <v>542</v>
      </c>
      <c r="AG11">
        <v>11047360</v>
      </c>
      <c r="AH11" t="s">
        <v>478</v>
      </c>
      <c r="AI11" t="s">
        <v>426</v>
      </c>
      <c r="AJ11">
        <v>0</v>
      </c>
      <c r="AK11" t="s">
        <v>543</v>
      </c>
      <c r="AL11" t="s">
        <v>478</v>
      </c>
      <c r="AM11" t="s">
        <v>481</v>
      </c>
      <c r="AN11" t="s">
        <v>439</v>
      </c>
      <c r="AO11" t="s">
        <v>426</v>
      </c>
      <c r="AP11">
        <v>0</v>
      </c>
      <c r="AQ11">
        <v>12640000</v>
      </c>
      <c r="AR11">
        <v>-1250000</v>
      </c>
      <c r="AS11">
        <v>-574874</v>
      </c>
      <c r="AT11">
        <v>10815126</v>
      </c>
      <c r="AU11">
        <v>9797360</v>
      </c>
      <c r="AV11">
        <v>1017766</v>
      </c>
      <c r="AW11" t="s">
        <v>1239</v>
      </c>
      <c r="AX11">
        <v>0</v>
      </c>
      <c r="AY11">
        <v>412733</v>
      </c>
      <c r="AZ11">
        <v>412733</v>
      </c>
      <c r="BA11">
        <v>0</v>
      </c>
      <c r="BB11" t="s">
        <v>441</v>
      </c>
      <c r="BC11">
        <v>0</v>
      </c>
      <c r="BD11">
        <v>0</v>
      </c>
      <c r="BE11">
        <v>0</v>
      </c>
      <c r="BF11">
        <v>0</v>
      </c>
      <c r="BG11" t="s">
        <v>441</v>
      </c>
      <c r="BH11">
        <v>0</v>
      </c>
      <c r="BI11">
        <v>0</v>
      </c>
      <c r="BJ11">
        <v>0</v>
      </c>
      <c r="BK11">
        <v>0</v>
      </c>
      <c r="BL11" t="s">
        <v>441</v>
      </c>
      <c r="BM11">
        <v>11390000</v>
      </c>
      <c r="BN11">
        <v>11227859</v>
      </c>
      <c r="BO11">
        <v>10300093</v>
      </c>
      <c r="BP11">
        <v>927766</v>
      </c>
      <c r="BQ11" t="s">
        <v>1240</v>
      </c>
      <c r="BR11">
        <v>927766</v>
      </c>
      <c r="BS11" t="s">
        <v>1240</v>
      </c>
      <c r="BT11">
        <v>0</v>
      </c>
      <c r="BU11">
        <v>0</v>
      </c>
      <c r="BV11">
        <v>13282733</v>
      </c>
      <c r="BW11">
        <v>0</v>
      </c>
      <c r="BX11">
        <v>412733</v>
      </c>
      <c r="BY11">
        <v>0</v>
      </c>
      <c r="BZ11">
        <v>13282733</v>
      </c>
      <c r="CA11">
        <v>11227859</v>
      </c>
      <c r="CB11">
        <v>927766</v>
      </c>
      <c r="CC11" t="s">
        <v>1240</v>
      </c>
      <c r="CD11" t="s">
        <v>426</v>
      </c>
      <c r="CE11">
        <v>0</v>
      </c>
      <c r="CF11" t="s">
        <v>426</v>
      </c>
      <c r="CG11">
        <v>0</v>
      </c>
      <c r="CH11">
        <v>1487500</v>
      </c>
      <c r="CI11">
        <v>90000</v>
      </c>
      <c r="CJ11" t="s">
        <v>426</v>
      </c>
    </row>
    <row r="12" spans="1:88">
      <c r="A12" t="s">
        <v>4</v>
      </c>
      <c r="B12" t="s">
        <v>5</v>
      </c>
      <c r="C12" t="s">
        <v>546</v>
      </c>
      <c r="D12">
        <v>5905</v>
      </c>
      <c r="E12" t="s">
        <v>117</v>
      </c>
      <c r="F12">
        <v>16748913</v>
      </c>
      <c r="G12" t="s">
        <v>423</v>
      </c>
      <c r="H12" t="s">
        <v>547</v>
      </c>
      <c r="I12" t="s">
        <v>548</v>
      </c>
      <c r="J12" t="s">
        <v>426</v>
      </c>
      <c r="K12" t="s">
        <v>426</v>
      </c>
      <c r="L12" t="s">
        <v>549</v>
      </c>
      <c r="M12" t="s">
        <v>550</v>
      </c>
      <c r="N12" t="s">
        <v>551</v>
      </c>
      <c r="O12" t="s">
        <v>426</v>
      </c>
      <c r="P12" t="s">
        <v>430</v>
      </c>
      <c r="Q12" t="s">
        <v>6</v>
      </c>
      <c r="R12" t="s">
        <v>431</v>
      </c>
      <c r="S12" t="s">
        <v>17</v>
      </c>
      <c r="T12" t="s">
        <v>552</v>
      </c>
      <c r="U12" t="s">
        <v>13</v>
      </c>
      <c r="V12" t="s">
        <v>118</v>
      </c>
      <c r="W12" t="s">
        <v>119</v>
      </c>
      <c r="X12" t="s">
        <v>119</v>
      </c>
      <c r="Y12" t="s">
        <v>119</v>
      </c>
      <c r="Z12" t="s">
        <v>433</v>
      </c>
      <c r="AA12">
        <v>2025</v>
      </c>
      <c r="AB12" t="s">
        <v>434</v>
      </c>
      <c r="AC12">
        <v>19859</v>
      </c>
      <c r="AD12" t="s">
        <v>493</v>
      </c>
      <c r="AE12" t="s">
        <v>426</v>
      </c>
      <c r="AF12" t="s">
        <v>553</v>
      </c>
      <c r="AG12">
        <v>17651815</v>
      </c>
      <c r="AH12" t="s">
        <v>493</v>
      </c>
      <c r="AI12" t="s">
        <v>426</v>
      </c>
      <c r="AJ12">
        <v>0</v>
      </c>
      <c r="AK12" t="s">
        <v>437</v>
      </c>
      <c r="AL12" t="s">
        <v>493</v>
      </c>
      <c r="AM12" t="s">
        <v>438</v>
      </c>
      <c r="AN12" t="s">
        <v>439</v>
      </c>
      <c r="AO12" t="s">
        <v>426</v>
      </c>
      <c r="AP12">
        <v>26</v>
      </c>
      <c r="AQ12">
        <v>18899160</v>
      </c>
      <c r="AR12">
        <v>-1218487</v>
      </c>
      <c r="AS12">
        <v>-756303</v>
      </c>
      <c r="AT12">
        <v>16924370</v>
      </c>
      <c r="AU12">
        <v>16244336</v>
      </c>
      <c r="AV12">
        <v>680034</v>
      </c>
      <c r="AW12" t="s">
        <v>1241</v>
      </c>
      <c r="AX12">
        <v>0</v>
      </c>
      <c r="AY12">
        <v>973956</v>
      </c>
      <c r="AZ12">
        <v>973956</v>
      </c>
      <c r="BA12">
        <v>0</v>
      </c>
      <c r="BB12" t="s">
        <v>441</v>
      </c>
      <c r="BC12">
        <v>0</v>
      </c>
      <c r="BD12">
        <v>0</v>
      </c>
      <c r="BE12">
        <v>0</v>
      </c>
      <c r="BF12">
        <v>0</v>
      </c>
      <c r="BG12" t="s">
        <v>441</v>
      </c>
      <c r="BH12">
        <v>0</v>
      </c>
      <c r="BI12">
        <v>0</v>
      </c>
      <c r="BJ12">
        <v>0</v>
      </c>
      <c r="BK12">
        <v>0</v>
      </c>
      <c r="BL12" t="s">
        <v>441</v>
      </c>
      <c r="BM12">
        <v>17680673</v>
      </c>
      <c r="BN12">
        <v>17898326</v>
      </c>
      <c r="BO12">
        <v>17393292</v>
      </c>
      <c r="BP12">
        <v>505034</v>
      </c>
      <c r="BQ12" t="s">
        <v>636</v>
      </c>
      <c r="BR12">
        <v>505034</v>
      </c>
      <c r="BS12" t="s">
        <v>636</v>
      </c>
      <c r="BT12">
        <v>0</v>
      </c>
      <c r="BU12">
        <v>0</v>
      </c>
      <c r="BV12">
        <v>21113956</v>
      </c>
      <c r="BW12">
        <v>0</v>
      </c>
      <c r="BX12">
        <v>973956</v>
      </c>
      <c r="BY12">
        <v>0</v>
      </c>
      <c r="BZ12">
        <v>21113956</v>
      </c>
      <c r="CA12">
        <v>17898326</v>
      </c>
      <c r="CB12">
        <v>505034</v>
      </c>
      <c r="CC12" t="s">
        <v>636</v>
      </c>
      <c r="CD12" t="s">
        <v>426</v>
      </c>
      <c r="CE12">
        <v>0</v>
      </c>
      <c r="CF12" t="s">
        <v>426</v>
      </c>
      <c r="CG12">
        <v>0</v>
      </c>
      <c r="CH12">
        <v>1674900</v>
      </c>
      <c r="CI12">
        <v>175000</v>
      </c>
      <c r="CJ12" t="s">
        <v>426</v>
      </c>
    </row>
    <row r="13" spans="1:88">
      <c r="A13" t="s">
        <v>4</v>
      </c>
      <c r="B13" t="s">
        <v>8</v>
      </c>
      <c r="C13" t="s">
        <v>556</v>
      </c>
      <c r="D13">
        <v>5906</v>
      </c>
      <c r="E13" t="s">
        <v>120</v>
      </c>
      <c r="F13">
        <v>76096975</v>
      </c>
      <c r="G13" t="s">
        <v>423</v>
      </c>
      <c r="H13" t="s">
        <v>557</v>
      </c>
      <c r="I13" t="s">
        <v>426</v>
      </c>
      <c r="J13" t="s">
        <v>558</v>
      </c>
      <c r="K13" t="s">
        <v>426</v>
      </c>
      <c r="L13" t="s">
        <v>559</v>
      </c>
      <c r="M13" t="s">
        <v>475</v>
      </c>
      <c r="N13" t="s">
        <v>560</v>
      </c>
      <c r="O13" t="s">
        <v>426</v>
      </c>
      <c r="P13" t="s">
        <v>490</v>
      </c>
      <c r="Q13" t="s">
        <v>6</v>
      </c>
      <c r="R13" t="s">
        <v>491</v>
      </c>
      <c r="S13" t="s">
        <v>9</v>
      </c>
      <c r="T13" t="s">
        <v>561</v>
      </c>
      <c r="U13" t="s">
        <v>16</v>
      </c>
      <c r="V13" t="s">
        <v>121</v>
      </c>
      <c r="W13" t="s">
        <v>122</v>
      </c>
      <c r="X13" t="s">
        <v>122</v>
      </c>
      <c r="Y13" t="s">
        <v>122</v>
      </c>
      <c r="Z13" t="s">
        <v>433</v>
      </c>
      <c r="AA13">
        <v>2025</v>
      </c>
      <c r="AB13" t="s">
        <v>434</v>
      </c>
      <c r="AC13">
        <v>19895</v>
      </c>
      <c r="AD13" t="s">
        <v>562</v>
      </c>
      <c r="AE13" t="s">
        <v>426</v>
      </c>
      <c r="AF13" t="s">
        <v>563</v>
      </c>
      <c r="AG13">
        <v>12358360</v>
      </c>
      <c r="AH13" t="s">
        <v>564</v>
      </c>
      <c r="AI13" t="s">
        <v>426</v>
      </c>
      <c r="AJ13">
        <v>0</v>
      </c>
      <c r="AK13" t="s">
        <v>565</v>
      </c>
      <c r="AL13" t="s">
        <v>564</v>
      </c>
      <c r="AM13" t="s">
        <v>566</v>
      </c>
      <c r="AN13" t="s">
        <v>439</v>
      </c>
      <c r="AO13" t="s">
        <v>426</v>
      </c>
      <c r="AP13">
        <v>0</v>
      </c>
      <c r="AQ13">
        <v>0</v>
      </c>
      <c r="AR13">
        <v>-2450000</v>
      </c>
      <c r="AS13">
        <v>-597563</v>
      </c>
      <c r="AT13">
        <v>11092437</v>
      </c>
      <c r="AU13">
        <v>10034411</v>
      </c>
      <c r="AV13">
        <v>1058026</v>
      </c>
      <c r="AW13" t="s">
        <v>1242</v>
      </c>
      <c r="AX13">
        <v>0</v>
      </c>
      <c r="AY13">
        <v>338823</v>
      </c>
      <c r="AZ13">
        <v>338823</v>
      </c>
      <c r="BA13">
        <v>0</v>
      </c>
      <c r="BB13" t="s">
        <v>441</v>
      </c>
      <c r="BC13">
        <v>0</v>
      </c>
      <c r="BD13">
        <v>0</v>
      </c>
      <c r="BE13">
        <v>0</v>
      </c>
      <c r="BF13">
        <v>0</v>
      </c>
      <c r="BG13" t="s">
        <v>441</v>
      </c>
      <c r="BH13">
        <v>0</v>
      </c>
      <c r="BI13">
        <v>0</v>
      </c>
      <c r="BJ13">
        <v>0</v>
      </c>
      <c r="BK13">
        <v>0</v>
      </c>
      <c r="BL13" t="s">
        <v>441</v>
      </c>
      <c r="BM13">
        <v>-2450000</v>
      </c>
      <c r="BN13">
        <v>11431260</v>
      </c>
      <c r="BO13">
        <v>10463234</v>
      </c>
      <c r="BP13">
        <v>968026</v>
      </c>
      <c r="BQ13" t="s">
        <v>1243</v>
      </c>
      <c r="BR13">
        <v>968026</v>
      </c>
      <c r="BS13" t="s">
        <v>1243</v>
      </c>
      <c r="BT13">
        <v>0</v>
      </c>
      <c r="BU13">
        <v>0</v>
      </c>
      <c r="BV13">
        <v>13538823</v>
      </c>
      <c r="BW13">
        <v>0</v>
      </c>
      <c r="BX13">
        <v>338823</v>
      </c>
      <c r="BY13">
        <v>0</v>
      </c>
      <c r="BZ13">
        <v>13538823</v>
      </c>
      <c r="CA13">
        <v>11431260</v>
      </c>
      <c r="CB13">
        <v>968026</v>
      </c>
      <c r="CC13" t="s">
        <v>1243</v>
      </c>
      <c r="CD13" t="s">
        <v>426</v>
      </c>
      <c r="CE13">
        <v>0</v>
      </c>
      <c r="CF13" t="s">
        <v>426</v>
      </c>
      <c r="CG13">
        <v>0</v>
      </c>
      <c r="CH13">
        <v>2765500</v>
      </c>
      <c r="CI13">
        <v>90000</v>
      </c>
      <c r="CJ13" t="s">
        <v>426</v>
      </c>
    </row>
    <row r="14" spans="1:88">
      <c r="A14" t="s">
        <v>4</v>
      </c>
      <c r="B14" t="s">
        <v>5</v>
      </c>
      <c r="C14" t="s">
        <v>569</v>
      </c>
      <c r="D14">
        <v>5907</v>
      </c>
      <c r="E14" t="s">
        <v>123</v>
      </c>
      <c r="F14">
        <v>10888067</v>
      </c>
      <c r="G14" t="s">
        <v>537</v>
      </c>
      <c r="H14" t="s">
        <v>570</v>
      </c>
      <c r="I14" t="s">
        <v>571</v>
      </c>
      <c r="J14" t="s">
        <v>426</v>
      </c>
      <c r="K14" t="s">
        <v>426</v>
      </c>
      <c r="L14" t="s">
        <v>447</v>
      </c>
      <c r="M14" t="s">
        <v>572</v>
      </c>
      <c r="N14" t="s">
        <v>573</v>
      </c>
      <c r="O14" t="s">
        <v>426</v>
      </c>
      <c r="P14" t="s">
        <v>463</v>
      </c>
      <c r="Q14" t="s">
        <v>6</v>
      </c>
      <c r="R14" t="s">
        <v>464</v>
      </c>
      <c r="S14" t="s">
        <v>12</v>
      </c>
      <c r="T14" t="s">
        <v>574</v>
      </c>
      <c r="U14" t="s">
        <v>11</v>
      </c>
      <c r="V14" t="s">
        <v>124</v>
      </c>
      <c r="W14" t="s">
        <v>125</v>
      </c>
      <c r="X14" t="s">
        <v>125</v>
      </c>
      <c r="Y14" t="s">
        <v>125</v>
      </c>
      <c r="Z14" t="s">
        <v>433</v>
      </c>
      <c r="AA14">
        <v>2025</v>
      </c>
      <c r="AB14" t="s">
        <v>434</v>
      </c>
      <c r="AC14">
        <v>19845</v>
      </c>
      <c r="AD14" t="s">
        <v>478</v>
      </c>
      <c r="AE14" t="s">
        <v>426</v>
      </c>
      <c r="AF14" t="s">
        <v>575</v>
      </c>
      <c r="AG14">
        <v>30123832</v>
      </c>
      <c r="AH14" t="s">
        <v>478</v>
      </c>
      <c r="AI14" t="s">
        <v>426</v>
      </c>
      <c r="AJ14">
        <v>0</v>
      </c>
      <c r="AK14" t="s">
        <v>437</v>
      </c>
      <c r="AL14" t="s">
        <v>478</v>
      </c>
      <c r="AM14" t="s">
        <v>438</v>
      </c>
      <c r="AN14" t="s">
        <v>439</v>
      </c>
      <c r="AO14" t="s">
        <v>576</v>
      </c>
      <c r="AP14">
        <v>0</v>
      </c>
      <c r="AQ14">
        <v>34865546</v>
      </c>
      <c r="AR14">
        <v>-1680672</v>
      </c>
      <c r="AS14">
        <v>-831933</v>
      </c>
      <c r="AT14">
        <v>32352941</v>
      </c>
      <c r="AU14">
        <v>28443160</v>
      </c>
      <c r="AV14">
        <v>3909781</v>
      </c>
      <c r="AW14" t="s">
        <v>577</v>
      </c>
      <c r="AX14">
        <v>0</v>
      </c>
      <c r="AY14">
        <v>2240615</v>
      </c>
      <c r="AZ14">
        <v>2240615</v>
      </c>
      <c r="BA14">
        <v>0</v>
      </c>
      <c r="BB14" t="s">
        <v>441</v>
      </c>
      <c r="BC14">
        <v>0</v>
      </c>
      <c r="BD14">
        <v>0</v>
      </c>
      <c r="BE14">
        <v>0</v>
      </c>
      <c r="BF14">
        <v>0</v>
      </c>
      <c r="BG14" t="s">
        <v>441</v>
      </c>
      <c r="BH14">
        <v>0</v>
      </c>
      <c r="BI14">
        <v>0</v>
      </c>
      <c r="BJ14">
        <v>0</v>
      </c>
      <c r="BK14">
        <v>0</v>
      </c>
      <c r="BL14" t="s">
        <v>441</v>
      </c>
      <c r="BM14">
        <v>33184874</v>
      </c>
      <c r="BN14">
        <v>34593556</v>
      </c>
      <c r="BO14">
        <v>30858775</v>
      </c>
      <c r="BP14">
        <v>3734781</v>
      </c>
      <c r="BQ14" t="s">
        <v>1244</v>
      </c>
      <c r="BR14">
        <v>3734781</v>
      </c>
      <c r="BS14" t="s">
        <v>1244</v>
      </c>
      <c r="BT14">
        <v>0</v>
      </c>
      <c r="BU14">
        <v>29000000</v>
      </c>
      <c r="BV14">
        <v>11740615</v>
      </c>
      <c r="BW14">
        <v>0</v>
      </c>
      <c r="BX14">
        <v>2240615</v>
      </c>
      <c r="BY14">
        <v>0</v>
      </c>
      <c r="BZ14">
        <v>40740615</v>
      </c>
      <c r="CA14">
        <v>34593556</v>
      </c>
      <c r="CB14">
        <v>3734781</v>
      </c>
      <c r="CC14" t="s">
        <v>1244</v>
      </c>
      <c r="CD14" t="s">
        <v>426</v>
      </c>
      <c r="CE14">
        <v>0</v>
      </c>
      <c r="CF14" t="s">
        <v>426</v>
      </c>
      <c r="CG14">
        <v>0</v>
      </c>
      <c r="CH14">
        <v>2000000</v>
      </c>
      <c r="CI14">
        <v>175000</v>
      </c>
      <c r="CJ14" t="s">
        <v>426</v>
      </c>
    </row>
    <row r="15" spans="1:88">
      <c r="A15" t="s">
        <v>4</v>
      </c>
      <c r="B15" t="s">
        <v>8</v>
      </c>
      <c r="C15" t="s">
        <v>579</v>
      </c>
      <c r="D15">
        <v>5913</v>
      </c>
      <c r="E15" t="s">
        <v>126</v>
      </c>
      <c r="F15">
        <v>17408406</v>
      </c>
      <c r="G15" t="s">
        <v>537</v>
      </c>
      <c r="H15" t="s">
        <v>580</v>
      </c>
      <c r="I15" t="s">
        <v>426</v>
      </c>
      <c r="J15" t="s">
        <v>581</v>
      </c>
      <c r="K15" t="s">
        <v>426</v>
      </c>
      <c r="L15" t="s">
        <v>488</v>
      </c>
      <c r="M15" t="s">
        <v>582</v>
      </c>
      <c r="N15" t="s">
        <v>583</v>
      </c>
      <c r="O15" t="s">
        <v>426</v>
      </c>
      <c r="P15" t="s">
        <v>463</v>
      </c>
      <c r="Q15" t="s">
        <v>6</v>
      </c>
      <c r="R15" t="s">
        <v>464</v>
      </c>
      <c r="S15" t="s">
        <v>23</v>
      </c>
      <c r="T15" t="s">
        <v>465</v>
      </c>
      <c r="U15" t="s">
        <v>13</v>
      </c>
      <c r="V15" t="s">
        <v>127</v>
      </c>
      <c r="W15" t="s">
        <v>128</v>
      </c>
      <c r="X15" t="s">
        <v>128</v>
      </c>
      <c r="Y15" t="s">
        <v>128</v>
      </c>
      <c r="Z15" t="s">
        <v>433</v>
      </c>
      <c r="AA15">
        <v>2025</v>
      </c>
      <c r="AB15" t="s">
        <v>584</v>
      </c>
      <c r="AC15">
        <v>19908</v>
      </c>
      <c r="AD15" t="s">
        <v>585</v>
      </c>
      <c r="AE15" t="s">
        <v>426</v>
      </c>
      <c r="AF15" t="s">
        <v>586</v>
      </c>
      <c r="AG15">
        <v>22640647</v>
      </c>
      <c r="AH15" t="s">
        <v>587</v>
      </c>
      <c r="AI15" t="s">
        <v>426</v>
      </c>
      <c r="AJ15">
        <v>0</v>
      </c>
      <c r="AK15" t="s">
        <v>437</v>
      </c>
      <c r="AL15" t="s">
        <v>587</v>
      </c>
      <c r="AM15" t="s">
        <v>481</v>
      </c>
      <c r="AN15" t="s">
        <v>439</v>
      </c>
      <c r="AO15" t="s">
        <v>588</v>
      </c>
      <c r="AP15">
        <v>-6</v>
      </c>
      <c r="AQ15">
        <v>24529412</v>
      </c>
      <c r="AR15">
        <v>-3571429</v>
      </c>
      <c r="AS15">
        <v>-840336</v>
      </c>
      <c r="AT15">
        <v>20117647</v>
      </c>
      <c r="AU15">
        <v>19076026</v>
      </c>
      <c r="AV15">
        <v>1041621</v>
      </c>
      <c r="AW15" t="s">
        <v>1245</v>
      </c>
      <c r="AX15">
        <v>0</v>
      </c>
      <c r="AY15">
        <v>1196428</v>
      </c>
      <c r="AZ15">
        <v>1196428</v>
      </c>
      <c r="BA15">
        <v>0</v>
      </c>
      <c r="BB15" t="s">
        <v>441</v>
      </c>
      <c r="BC15">
        <v>73920</v>
      </c>
      <c r="BD15">
        <v>294118</v>
      </c>
      <c r="BE15">
        <v>0</v>
      </c>
      <c r="BF15">
        <v>0</v>
      </c>
      <c r="BG15" t="s">
        <v>441</v>
      </c>
      <c r="BH15">
        <v>0</v>
      </c>
      <c r="BI15">
        <v>0</v>
      </c>
      <c r="BJ15">
        <v>0</v>
      </c>
      <c r="BK15">
        <v>0</v>
      </c>
      <c r="BL15" t="s">
        <v>441</v>
      </c>
      <c r="BM15">
        <v>20957983</v>
      </c>
      <c r="BN15">
        <v>21608193</v>
      </c>
      <c r="BO15">
        <v>20447454</v>
      </c>
      <c r="BP15">
        <v>1160739</v>
      </c>
      <c r="BQ15" t="s">
        <v>1246</v>
      </c>
      <c r="BR15">
        <v>1160739</v>
      </c>
      <c r="BS15" t="s">
        <v>1246</v>
      </c>
      <c r="BT15">
        <v>0</v>
      </c>
      <c r="BU15">
        <v>21557299</v>
      </c>
      <c r="BV15">
        <v>17178644</v>
      </c>
      <c r="BW15">
        <v>-13249515</v>
      </c>
      <c r="BX15">
        <v>1196428</v>
      </c>
      <c r="BY15">
        <v>294118</v>
      </c>
      <c r="BZ15">
        <v>25486428</v>
      </c>
      <c r="CA15">
        <v>21608193</v>
      </c>
      <c r="CB15">
        <v>1160739</v>
      </c>
      <c r="CC15" t="s">
        <v>1246</v>
      </c>
      <c r="CD15" t="s">
        <v>426</v>
      </c>
      <c r="CE15">
        <v>0</v>
      </c>
      <c r="CF15" t="s">
        <v>426</v>
      </c>
      <c r="CG15">
        <v>0</v>
      </c>
      <c r="CH15">
        <v>4241900</v>
      </c>
      <c r="CI15">
        <v>175000</v>
      </c>
      <c r="CJ15" t="s">
        <v>426</v>
      </c>
    </row>
    <row r="16" spans="1:88">
      <c r="A16" t="s">
        <v>4</v>
      </c>
      <c r="B16" t="s">
        <v>8</v>
      </c>
      <c r="C16" t="s">
        <v>591</v>
      </c>
      <c r="D16">
        <v>5914</v>
      </c>
      <c r="E16" t="s">
        <v>129</v>
      </c>
      <c r="F16">
        <v>8966208</v>
      </c>
      <c r="G16" t="s">
        <v>592</v>
      </c>
      <c r="H16" t="s">
        <v>593</v>
      </c>
      <c r="I16" t="s">
        <v>426</v>
      </c>
      <c r="J16" t="s">
        <v>594</v>
      </c>
      <c r="K16" t="s">
        <v>426</v>
      </c>
      <c r="L16" t="s">
        <v>488</v>
      </c>
      <c r="M16" t="s">
        <v>475</v>
      </c>
      <c r="N16" t="s">
        <v>595</v>
      </c>
      <c r="O16" t="s">
        <v>426</v>
      </c>
      <c r="P16" t="s">
        <v>430</v>
      </c>
      <c r="Q16" t="s">
        <v>6</v>
      </c>
      <c r="R16" t="s">
        <v>464</v>
      </c>
      <c r="S16" t="s">
        <v>29</v>
      </c>
      <c r="T16" t="s">
        <v>596</v>
      </c>
      <c r="U16" t="s">
        <v>7</v>
      </c>
      <c r="V16" t="s">
        <v>130</v>
      </c>
      <c r="W16" t="s">
        <v>131</v>
      </c>
      <c r="X16" t="s">
        <v>131</v>
      </c>
      <c r="Y16" t="s">
        <v>131</v>
      </c>
      <c r="Z16" t="s">
        <v>433</v>
      </c>
      <c r="AA16">
        <v>2024</v>
      </c>
      <c r="AB16" t="s">
        <v>434</v>
      </c>
      <c r="AC16">
        <v>19860</v>
      </c>
      <c r="AD16" t="s">
        <v>493</v>
      </c>
      <c r="AE16" t="s">
        <v>426</v>
      </c>
      <c r="AF16" t="s">
        <v>597</v>
      </c>
      <c r="AG16">
        <v>15695160</v>
      </c>
      <c r="AH16" t="s">
        <v>493</v>
      </c>
      <c r="AI16" t="s">
        <v>426</v>
      </c>
      <c r="AJ16">
        <v>0</v>
      </c>
      <c r="AK16" t="s">
        <v>437</v>
      </c>
      <c r="AL16" t="s">
        <v>493</v>
      </c>
      <c r="AM16" t="s">
        <v>481</v>
      </c>
      <c r="AN16" t="s">
        <v>439</v>
      </c>
      <c r="AO16" t="s">
        <v>426</v>
      </c>
      <c r="AP16">
        <v>0</v>
      </c>
      <c r="AQ16">
        <v>17134454</v>
      </c>
      <c r="AR16">
        <v>-3697479</v>
      </c>
      <c r="AS16">
        <v>0</v>
      </c>
      <c r="AT16">
        <v>13436975</v>
      </c>
      <c r="AU16">
        <v>11767933</v>
      </c>
      <c r="AV16">
        <v>1669042</v>
      </c>
      <c r="AW16" t="s">
        <v>1247</v>
      </c>
      <c r="AX16">
        <v>0</v>
      </c>
      <c r="AY16">
        <v>491389</v>
      </c>
      <c r="AZ16">
        <v>491389</v>
      </c>
      <c r="BA16">
        <v>0</v>
      </c>
      <c r="BB16" t="s">
        <v>441</v>
      </c>
      <c r="BC16">
        <v>0</v>
      </c>
      <c r="BD16">
        <v>0</v>
      </c>
      <c r="BE16">
        <v>0</v>
      </c>
      <c r="BF16">
        <v>0</v>
      </c>
      <c r="BG16" t="s">
        <v>441</v>
      </c>
      <c r="BH16">
        <v>0</v>
      </c>
      <c r="BI16">
        <v>0</v>
      </c>
      <c r="BJ16">
        <v>0</v>
      </c>
      <c r="BK16">
        <v>0</v>
      </c>
      <c r="BL16" t="s">
        <v>441</v>
      </c>
      <c r="BM16">
        <v>13436975</v>
      </c>
      <c r="BN16">
        <v>13928364</v>
      </c>
      <c r="BO16">
        <v>12404322</v>
      </c>
      <c r="BP16">
        <v>1524042</v>
      </c>
      <c r="BQ16" t="s">
        <v>1248</v>
      </c>
      <c r="BR16">
        <v>1524042</v>
      </c>
      <c r="BS16" t="s">
        <v>1248</v>
      </c>
      <c r="BT16">
        <v>0</v>
      </c>
      <c r="BU16">
        <v>0</v>
      </c>
      <c r="BV16">
        <v>16481389</v>
      </c>
      <c r="BW16">
        <v>0</v>
      </c>
      <c r="BX16">
        <v>491389</v>
      </c>
      <c r="BY16">
        <v>0</v>
      </c>
      <c r="BZ16">
        <v>16481389</v>
      </c>
      <c r="CA16">
        <v>13928364</v>
      </c>
      <c r="CB16">
        <v>1524042</v>
      </c>
      <c r="CC16" t="s">
        <v>1248</v>
      </c>
      <c r="CD16" t="s">
        <v>426</v>
      </c>
      <c r="CE16">
        <v>0</v>
      </c>
      <c r="CF16" t="s">
        <v>426</v>
      </c>
      <c r="CG16">
        <v>0</v>
      </c>
      <c r="CH16">
        <v>4673400</v>
      </c>
      <c r="CI16">
        <v>145000</v>
      </c>
      <c r="CJ16" t="s">
        <v>426</v>
      </c>
    </row>
    <row r="17" spans="1:88">
      <c r="A17" t="s">
        <v>4</v>
      </c>
      <c r="B17" t="s">
        <v>5</v>
      </c>
      <c r="C17" t="s">
        <v>600</v>
      </c>
      <c r="D17">
        <v>5917</v>
      </c>
      <c r="E17" t="s">
        <v>132</v>
      </c>
      <c r="F17">
        <v>7918183</v>
      </c>
      <c r="G17" t="s">
        <v>537</v>
      </c>
      <c r="H17" t="s">
        <v>601</v>
      </c>
      <c r="I17" t="s">
        <v>602</v>
      </c>
      <c r="J17" t="s">
        <v>426</v>
      </c>
      <c r="K17" t="s">
        <v>426</v>
      </c>
      <c r="L17" t="s">
        <v>603</v>
      </c>
      <c r="M17" t="s">
        <v>604</v>
      </c>
      <c r="N17" t="s">
        <v>605</v>
      </c>
      <c r="O17" t="s">
        <v>426</v>
      </c>
      <c r="P17" t="s">
        <v>463</v>
      </c>
      <c r="Q17" t="s">
        <v>6</v>
      </c>
      <c r="R17" t="s">
        <v>464</v>
      </c>
      <c r="S17" t="s">
        <v>10</v>
      </c>
      <c r="T17" t="s">
        <v>606</v>
      </c>
      <c r="U17" t="s">
        <v>26</v>
      </c>
      <c r="V17" t="s">
        <v>133</v>
      </c>
      <c r="W17" t="s">
        <v>134</v>
      </c>
      <c r="X17" t="s">
        <v>134</v>
      </c>
      <c r="Y17" t="s">
        <v>426</v>
      </c>
      <c r="Z17" t="s">
        <v>433</v>
      </c>
      <c r="AA17">
        <v>2025</v>
      </c>
      <c r="AB17" t="s">
        <v>434</v>
      </c>
      <c r="AC17">
        <v>19861</v>
      </c>
      <c r="AD17" t="s">
        <v>493</v>
      </c>
      <c r="AE17" t="s">
        <v>426</v>
      </c>
      <c r="AF17" t="s">
        <v>607</v>
      </c>
      <c r="AG17">
        <v>23804093</v>
      </c>
      <c r="AH17" t="s">
        <v>493</v>
      </c>
      <c r="AI17" t="s">
        <v>426</v>
      </c>
      <c r="AJ17">
        <v>0</v>
      </c>
      <c r="AK17" t="s">
        <v>437</v>
      </c>
      <c r="AL17" t="s">
        <v>493</v>
      </c>
      <c r="AM17" t="s">
        <v>438</v>
      </c>
      <c r="AN17" t="s">
        <v>439</v>
      </c>
      <c r="AO17" t="s">
        <v>426</v>
      </c>
      <c r="AP17">
        <v>0</v>
      </c>
      <c r="AQ17">
        <v>25789916</v>
      </c>
      <c r="AR17">
        <v>-2436975</v>
      </c>
      <c r="AS17">
        <v>-773697</v>
      </c>
      <c r="AT17">
        <v>22579244</v>
      </c>
      <c r="AU17">
        <v>21109219</v>
      </c>
      <c r="AV17">
        <v>1470025</v>
      </c>
      <c r="AW17" t="s">
        <v>1249</v>
      </c>
      <c r="AX17">
        <v>0</v>
      </c>
      <c r="AY17">
        <v>1581111</v>
      </c>
      <c r="AZ17">
        <v>1581111</v>
      </c>
      <c r="BA17">
        <v>0</v>
      </c>
      <c r="BB17" t="s">
        <v>441</v>
      </c>
      <c r="BC17">
        <v>0</v>
      </c>
      <c r="BD17">
        <v>0</v>
      </c>
      <c r="BE17">
        <v>0</v>
      </c>
      <c r="BF17">
        <v>0</v>
      </c>
      <c r="BG17" t="s">
        <v>441</v>
      </c>
      <c r="BH17">
        <v>0</v>
      </c>
      <c r="BI17">
        <v>0</v>
      </c>
      <c r="BJ17">
        <v>0</v>
      </c>
      <c r="BK17">
        <v>0</v>
      </c>
      <c r="BL17" t="s">
        <v>441</v>
      </c>
      <c r="BM17">
        <v>23352941</v>
      </c>
      <c r="BN17">
        <v>24160355</v>
      </c>
      <c r="BO17">
        <v>22865330</v>
      </c>
      <c r="BP17">
        <v>1295025</v>
      </c>
      <c r="BQ17" t="s">
        <v>1144</v>
      </c>
      <c r="BR17">
        <v>1295025</v>
      </c>
      <c r="BS17" t="s">
        <v>1144</v>
      </c>
      <c r="BT17">
        <v>0</v>
      </c>
      <c r="BU17">
        <v>0</v>
      </c>
      <c r="BV17">
        <v>28450411</v>
      </c>
      <c r="BW17">
        <v>0</v>
      </c>
      <c r="BX17">
        <v>1581111</v>
      </c>
      <c r="BY17">
        <v>0</v>
      </c>
      <c r="BZ17">
        <v>28450411</v>
      </c>
      <c r="CA17">
        <v>24160355</v>
      </c>
      <c r="CB17">
        <v>1295025</v>
      </c>
      <c r="CC17" t="s">
        <v>1144</v>
      </c>
      <c r="CD17" t="s">
        <v>426</v>
      </c>
      <c r="CE17">
        <v>0</v>
      </c>
      <c r="CF17" t="s">
        <v>426</v>
      </c>
      <c r="CG17">
        <v>0</v>
      </c>
      <c r="CH17">
        <v>3206900</v>
      </c>
      <c r="CI17">
        <v>175000</v>
      </c>
      <c r="CJ17" t="s">
        <v>426</v>
      </c>
    </row>
    <row r="18" spans="1:88">
      <c r="A18" t="s">
        <v>4</v>
      </c>
      <c r="B18" t="s">
        <v>8</v>
      </c>
      <c r="C18" t="s">
        <v>610</v>
      </c>
      <c r="D18">
        <v>5918</v>
      </c>
      <c r="E18" t="s">
        <v>218</v>
      </c>
      <c r="F18">
        <v>18928528</v>
      </c>
      <c r="G18" t="s">
        <v>611</v>
      </c>
      <c r="H18" t="s">
        <v>612</v>
      </c>
      <c r="I18" t="s">
        <v>613</v>
      </c>
      <c r="J18" t="s">
        <v>613</v>
      </c>
      <c r="K18" t="s">
        <v>426</v>
      </c>
      <c r="L18" t="s">
        <v>614</v>
      </c>
      <c r="M18" t="s">
        <v>475</v>
      </c>
      <c r="N18" t="s">
        <v>615</v>
      </c>
      <c r="O18" t="s">
        <v>616</v>
      </c>
      <c r="P18" t="s">
        <v>509</v>
      </c>
      <c r="Q18" t="s">
        <v>6</v>
      </c>
      <c r="R18" t="s">
        <v>617</v>
      </c>
      <c r="S18" t="s">
        <v>54</v>
      </c>
      <c r="T18" t="s">
        <v>618</v>
      </c>
      <c r="U18" t="s">
        <v>35</v>
      </c>
      <c r="V18" t="s">
        <v>219</v>
      </c>
      <c r="W18" t="s">
        <v>220</v>
      </c>
      <c r="X18" t="s">
        <v>220</v>
      </c>
      <c r="Y18" t="s">
        <v>220</v>
      </c>
      <c r="Z18" t="s">
        <v>619</v>
      </c>
      <c r="AA18">
        <v>2022</v>
      </c>
      <c r="AB18" t="s">
        <v>434</v>
      </c>
      <c r="AC18">
        <v>88</v>
      </c>
      <c r="AD18" t="s">
        <v>585</v>
      </c>
      <c r="AE18" t="s">
        <v>426</v>
      </c>
      <c r="AF18" t="s">
        <v>620</v>
      </c>
      <c r="AG18">
        <v>7750000</v>
      </c>
      <c r="AH18" t="s">
        <v>585</v>
      </c>
      <c r="AI18" t="s">
        <v>426</v>
      </c>
      <c r="AJ18">
        <v>0</v>
      </c>
      <c r="AK18" t="s">
        <v>437</v>
      </c>
      <c r="AL18" t="s">
        <v>585</v>
      </c>
      <c r="AM18" t="s">
        <v>481</v>
      </c>
      <c r="AN18" t="s">
        <v>439</v>
      </c>
      <c r="AO18" t="s">
        <v>621</v>
      </c>
      <c r="AP18">
        <v>29</v>
      </c>
      <c r="AQ18">
        <v>0</v>
      </c>
      <c r="AR18">
        <v>0</v>
      </c>
      <c r="AS18">
        <v>-311330</v>
      </c>
      <c r="AT18">
        <v>8478670</v>
      </c>
      <c r="AU18">
        <v>7750000</v>
      </c>
      <c r="AV18">
        <v>728670</v>
      </c>
      <c r="AW18" t="s">
        <v>622</v>
      </c>
      <c r="AX18">
        <v>0</v>
      </c>
      <c r="AY18">
        <v>311330</v>
      </c>
      <c r="AZ18">
        <v>311330</v>
      </c>
      <c r="BA18">
        <v>0</v>
      </c>
      <c r="BB18" t="s">
        <v>441</v>
      </c>
      <c r="BC18">
        <v>0</v>
      </c>
      <c r="BD18">
        <v>0</v>
      </c>
      <c r="BE18">
        <v>0</v>
      </c>
      <c r="BF18">
        <v>0</v>
      </c>
      <c r="BG18" t="s">
        <v>441</v>
      </c>
      <c r="BH18">
        <v>0</v>
      </c>
      <c r="BI18">
        <v>0</v>
      </c>
      <c r="BJ18">
        <v>0</v>
      </c>
      <c r="BK18">
        <v>0</v>
      </c>
      <c r="BL18" t="s">
        <v>441</v>
      </c>
      <c r="BM18">
        <v>0</v>
      </c>
      <c r="BN18">
        <v>8790000</v>
      </c>
      <c r="BO18">
        <v>8061330</v>
      </c>
      <c r="BP18">
        <v>728670</v>
      </c>
      <c r="BQ18" t="s">
        <v>623</v>
      </c>
      <c r="BR18">
        <v>728670</v>
      </c>
      <c r="BS18" t="s">
        <v>623</v>
      </c>
      <c r="BT18">
        <v>0</v>
      </c>
      <c r="BU18">
        <v>4000000</v>
      </c>
      <c r="BV18">
        <v>4790000</v>
      </c>
      <c r="BW18">
        <v>0</v>
      </c>
      <c r="BX18">
        <v>311330</v>
      </c>
      <c r="BY18">
        <v>0</v>
      </c>
      <c r="BZ18">
        <v>8790000</v>
      </c>
      <c r="CA18">
        <v>8790000</v>
      </c>
      <c r="CB18">
        <v>728670</v>
      </c>
      <c r="CC18" t="s">
        <v>623</v>
      </c>
      <c r="CD18" t="s">
        <v>426</v>
      </c>
      <c r="CE18">
        <v>0</v>
      </c>
      <c r="CF18" t="s">
        <v>426</v>
      </c>
      <c r="CG18">
        <v>0</v>
      </c>
      <c r="CH18">
        <v>0</v>
      </c>
      <c r="CI18">
        <v>0</v>
      </c>
      <c r="CJ18" t="s">
        <v>426</v>
      </c>
    </row>
    <row r="19" spans="1:88">
      <c r="A19" t="s">
        <v>4</v>
      </c>
      <c r="B19" t="s">
        <v>8</v>
      </c>
      <c r="C19" t="s">
        <v>624</v>
      </c>
      <c r="D19">
        <v>5919</v>
      </c>
      <c r="E19" t="s">
        <v>221</v>
      </c>
      <c r="F19">
        <v>6391594</v>
      </c>
      <c r="G19" t="s">
        <v>592</v>
      </c>
      <c r="H19" t="s">
        <v>625</v>
      </c>
      <c r="I19" t="s">
        <v>626</v>
      </c>
      <c r="J19" t="s">
        <v>626</v>
      </c>
      <c r="K19" t="s">
        <v>426</v>
      </c>
      <c r="L19" t="s">
        <v>627</v>
      </c>
      <c r="M19" t="s">
        <v>628</v>
      </c>
      <c r="N19" t="s">
        <v>629</v>
      </c>
      <c r="O19" t="s">
        <v>630</v>
      </c>
      <c r="P19" t="s">
        <v>509</v>
      </c>
      <c r="Q19" t="s">
        <v>6</v>
      </c>
      <c r="R19" t="s">
        <v>631</v>
      </c>
      <c r="S19" t="s">
        <v>222</v>
      </c>
      <c r="T19" t="s">
        <v>632</v>
      </c>
      <c r="U19" t="s">
        <v>11</v>
      </c>
      <c r="V19" t="s">
        <v>223</v>
      </c>
      <c r="W19" t="s">
        <v>224</v>
      </c>
      <c r="X19" t="s">
        <v>224</v>
      </c>
      <c r="Y19" t="s">
        <v>224</v>
      </c>
      <c r="Z19" t="s">
        <v>619</v>
      </c>
      <c r="AA19">
        <v>2021</v>
      </c>
      <c r="AB19" t="s">
        <v>434</v>
      </c>
      <c r="AC19">
        <v>89</v>
      </c>
      <c r="AD19" t="s">
        <v>633</v>
      </c>
      <c r="AE19" t="s">
        <v>426</v>
      </c>
      <c r="AF19" t="s">
        <v>634</v>
      </c>
      <c r="AG19">
        <v>16022882</v>
      </c>
      <c r="AH19" t="s">
        <v>633</v>
      </c>
      <c r="AI19" t="s">
        <v>426</v>
      </c>
      <c r="AJ19">
        <v>0</v>
      </c>
      <c r="AK19" t="s">
        <v>437</v>
      </c>
      <c r="AL19" t="s">
        <v>633</v>
      </c>
      <c r="AM19" t="s">
        <v>481</v>
      </c>
      <c r="AN19" t="s">
        <v>439</v>
      </c>
      <c r="AO19" t="s">
        <v>426</v>
      </c>
      <c r="AP19">
        <v>73</v>
      </c>
      <c r="AQ19">
        <v>0</v>
      </c>
      <c r="AR19">
        <v>0</v>
      </c>
      <c r="AS19">
        <v>-490000</v>
      </c>
      <c r="AT19">
        <v>16500000</v>
      </c>
      <c r="AU19">
        <v>16022882</v>
      </c>
      <c r="AV19">
        <v>477118</v>
      </c>
      <c r="AW19" t="s">
        <v>635</v>
      </c>
      <c r="AX19">
        <v>0</v>
      </c>
      <c r="AY19">
        <v>427000</v>
      </c>
      <c r="AZ19">
        <v>427000</v>
      </c>
      <c r="BA19">
        <v>0</v>
      </c>
      <c r="BB19" t="s">
        <v>441</v>
      </c>
      <c r="BC19">
        <v>0</v>
      </c>
      <c r="BD19">
        <v>0</v>
      </c>
      <c r="BE19">
        <v>0</v>
      </c>
      <c r="BF19">
        <v>0</v>
      </c>
      <c r="BG19" t="s">
        <v>441</v>
      </c>
      <c r="BH19">
        <v>0</v>
      </c>
      <c r="BI19">
        <v>0</v>
      </c>
      <c r="BJ19">
        <v>0</v>
      </c>
      <c r="BK19">
        <v>0</v>
      </c>
      <c r="BL19" t="s">
        <v>441</v>
      </c>
      <c r="BM19">
        <v>0</v>
      </c>
      <c r="BN19">
        <v>16927000</v>
      </c>
      <c r="BO19">
        <v>16449882</v>
      </c>
      <c r="BP19">
        <v>477118</v>
      </c>
      <c r="BQ19" t="s">
        <v>636</v>
      </c>
      <c r="BR19">
        <v>477118</v>
      </c>
      <c r="BS19" t="s">
        <v>636</v>
      </c>
      <c r="BT19">
        <v>0</v>
      </c>
      <c r="BU19">
        <v>0</v>
      </c>
      <c r="BV19">
        <v>16927000</v>
      </c>
      <c r="BW19">
        <v>0</v>
      </c>
      <c r="BX19">
        <v>427000</v>
      </c>
      <c r="BY19">
        <v>0</v>
      </c>
      <c r="BZ19">
        <v>16927000</v>
      </c>
      <c r="CA19">
        <v>16927000</v>
      </c>
      <c r="CB19">
        <v>477118</v>
      </c>
      <c r="CC19" t="s">
        <v>636</v>
      </c>
      <c r="CD19" t="s">
        <v>426</v>
      </c>
      <c r="CE19">
        <v>0</v>
      </c>
      <c r="CF19" t="s">
        <v>426</v>
      </c>
      <c r="CG19">
        <v>0</v>
      </c>
      <c r="CH19">
        <v>0</v>
      </c>
      <c r="CI19">
        <v>0</v>
      </c>
      <c r="CJ19" t="s">
        <v>426</v>
      </c>
    </row>
    <row r="20" spans="1:88">
      <c r="A20" t="s">
        <v>4</v>
      </c>
      <c r="B20" t="s">
        <v>5</v>
      </c>
      <c r="C20" t="s">
        <v>637</v>
      </c>
      <c r="D20">
        <v>5922</v>
      </c>
      <c r="E20" t="s">
        <v>135</v>
      </c>
      <c r="F20">
        <v>76101208</v>
      </c>
      <c r="G20" t="s">
        <v>537</v>
      </c>
      <c r="H20" t="s">
        <v>638</v>
      </c>
      <c r="I20" t="s">
        <v>426</v>
      </c>
      <c r="J20" t="s">
        <v>639</v>
      </c>
      <c r="K20" t="s">
        <v>639</v>
      </c>
      <c r="L20" t="s">
        <v>474</v>
      </c>
      <c r="M20" t="s">
        <v>640</v>
      </c>
      <c r="N20" t="s">
        <v>641</v>
      </c>
      <c r="O20" t="s">
        <v>426</v>
      </c>
      <c r="P20" t="s">
        <v>490</v>
      </c>
      <c r="Q20" t="s">
        <v>6</v>
      </c>
      <c r="R20" t="s">
        <v>491</v>
      </c>
      <c r="S20" t="s">
        <v>71</v>
      </c>
      <c r="T20" t="s">
        <v>642</v>
      </c>
      <c r="U20" t="s">
        <v>13</v>
      </c>
      <c r="V20" t="s">
        <v>136</v>
      </c>
      <c r="W20" t="s">
        <v>137</v>
      </c>
      <c r="X20" t="s">
        <v>137</v>
      </c>
      <c r="Y20" t="s">
        <v>137</v>
      </c>
      <c r="Z20" t="s">
        <v>433</v>
      </c>
      <c r="AA20">
        <v>2025</v>
      </c>
      <c r="AB20" t="s">
        <v>434</v>
      </c>
      <c r="AC20">
        <v>19856</v>
      </c>
      <c r="AD20" t="s">
        <v>493</v>
      </c>
      <c r="AE20" t="s">
        <v>426</v>
      </c>
      <c r="AF20" t="s">
        <v>643</v>
      </c>
      <c r="AG20">
        <v>12096160</v>
      </c>
      <c r="AH20" t="s">
        <v>493</v>
      </c>
      <c r="AI20" t="s">
        <v>426</v>
      </c>
      <c r="AJ20">
        <v>0</v>
      </c>
      <c r="AK20" t="s">
        <v>437</v>
      </c>
      <c r="AL20" t="s">
        <v>493</v>
      </c>
      <c r="AM20" t="s">
        <v>499</v>
      </c>
      <c r="AN20" t="s">
        <v>439</v>
      </c>
      <c r="AO20" t="s">
        <v>426</v>
      </c>
      <c r="AP20">
        <v>0</v>
      </c>
      <c r="AQ20">
        <v>13840000</v>
      </c>
      <c r="AR20">
        <v>-1350000</v>
      </c>
      <c r="AS20">
        <v>0</v>
      </c>
      <c r="AT20">
        <v>12490000</v>
      </c>
      <c r="AU20">
        <v>10746160</v>
      </c>
      <c r="AV20">
        <v>1743840</v>
      </c>
      <c r="AW20" t="s">
        <v>644</v>
      </c>
      <c r="AX20">
        <v>0</v>
      </c>
      <c r="AY20">
        <v>441686</v>
      </c>
      <c r="AZ20">
        <v>441686</v>
      </c>
      <c r="BA20">
        <v>0</v>
      </c>
      <c r="BB20" t="s">
        <v>441</v>
      </c>
      <c r="BC20">
        <v>0</v>
      </c>
      <c r="BD20">
        <v>0</v>
      </c>
      <c r="BE20">
        <v>0</v>
      </c>
      <c r="BF20">
        <v>0</v>
      </c>
      <c r="BG20" t="s">
        <v>441</v>
      </c>
      <c r="BH20">
        <v>0</v>
      </c>
      <c r="BI20">
        <v>0</v>
      </c>
      <c r="BJ20">
        <v>0</v>
      </c>
      <c r="BK20">
        <v>0</v>
      </c>
      <c r="BL20" t="s">
        <v>441</v>
      </c>
      <c r="BM20">
        <v>12490000</v>
      </c>
      <c r="BN20">
        <v>12931686</v>
      </c>
      <c r="BO20">
        <v>11277846</v>
      </c>
      <c r="BP20">
        <v>1653840</v>
      </c>
      <c r="BQ20" t="s">
        <v>1250</v>
      </c>
      <c r="BR20">
        <v>1653840</v>
      </c>
      <c r="BS20" t="s">
        <v>1250</v>
      </c>
      <c r="BT20">
        <v>0</v>
      </c>
      <c r="BU20">
        <v>0</v>
      </c>
      <c r="BV20">
        <v>15304786</v>
      </c>
      <c r="BW20">
        <v>0</v>
      </c>
      <c r="BX20">
        <v>441686</v>
      </c>
      <c r="BY20">
        <v>0</v>
      </c>
      <c r="BZ20">
        <v>15304786</v>
      </c>
      <c r="CA20">
        <v>12931686</v>
      </c>
      <c r="CB20">
        <v>1653840</v>
      </c>
      <c r="CC20" t="s">
        <v>1250</v>
      </c>
      <c r="CD20" t="s">
        <v>426</v>
      </c>
      <c r="CE20">
        <v>0</v>
      </c>
      <c r="CF20" t="s">
        <v>426</v>
      </c>
      <c r="CG20">
        <v>0</v>
      </c>
      <c r="CH20">
        <v>1606500</v>
      </c>
      <c r="CI20">
        <v>90000</v>
      </c>
      <c r="CJ20" t="s">
        <v>426</v>
      </c>
    </row>
    <row r="21" spans="1:88">
      <c r="A21" t="s">
        <v>4</v>
      </c>
      <c r="B21" t="s">
        <v>8</v>
      </c>
      <c r="C21" t="s">
        <v>646</v>
      </c>
      <c r="D21">
        <v>5926</v>
      </c>
      <c r="E21" t="s">
        <v>138</v>
      </c>
      <c r="F21">
        <v>76937697</v>
      </c>
      <c r="G21" t="s">
        <v>458</v>
      </c>
      <c r="H21" t="s">
        <v>647</v>
      </c>
      <c r="I21" t="s">
        <v>648</v>
      </c>
      <c r="J21" t="s">
        <v>426</v>
      </c>
      <c r="K21" t="s">
        <v>426</v>
      </c>
      <c r="L21" t="s">
        <v>649</v>
      </c>
      <c r="M21" t="s">
        <v>650</v>
      </c>
      <c r="N21" t="s">
        <v>651</v>
      </c>
      <c r="O21" t="s">
        <v>426</v>
      </c>
      <c r="P21" t="s">
        <v>490</v>
      </c>
      <c r="Q21" t="s">
        <v>6</v>
      </c>
      <c r="R21" t="s">
        <v>491</v>
      </c>
      <c r="S21" t="s">
        <v>24</v>
      </c>
      <c r="T21" t="s">
        <v>492</v>
      </c>
      <c r="U21" t="s">
        <v>7</v>
      </c>
      <c r="V21" t="s">
        <v>139</v>
      </c>
      <c r="W21" t="s">
        <v>140</v>
      </c>
      <c r="X21" t="s">
        <v>140</v>
      </c>
      <c r="Y21" t="s">
        <v>140</v>
      </c>
      <c r="Z21" t="s">
        <v>433</v>
      </c>
      <c r="AA21">
        <v>2025</v>
      </c>
      <c r="AB21" t="s">
        <v>434</v>
      </c>
      <c r="AC21">
        <v>19936</v>
      </c>
      <c r="AD21" t="s">
        <v>652</v>
      </c>
      <c r="AE21" t="s">
        <v>426</v>
      </c>
      <c r="AF21" t="s">
        <v>653</v>
      </c>
      <c r="AG21">
        <v>11047360</v>
      </c>
      <c r="AH21" t="s">
        <v>654</v>
      </c>
      <c r="AI21" t="s">
        <v>426</v>
      </c>
      <c r="AJ21">
        <v>0</v>
      </c>
      <c r="AK21" t="s">
        <v>437</v>
      </c>
      <c r="AL21" t="s">
        <v>654</v>
      </c>
      <c r="AM21" t="s">
        <v>481</v>
      </c>
      <c r="AN21" t="s">
        <v>439</v>
      </c>
      <c r="AO21" t="s">
        <v>426</v>
      </c>
      <c r="AP21">
        <v>0</v>
      </c>
      <c r="AQ21">
        <v>12640000</v>
      </c>
      <c r="AR21">
        <v>-1295462</v>
      </c>
      <c r="AS21">
        <v>0</v>
      </c>
      <c r="AT21">
        <v>11344538</v>
      </c>
      <c r="AU21">
        <v>9797360</v>
      </c>
      <c r="AV21">
        <v>1547178</v>
      </c>
      <c r="AW21" t="s">
        <v>655</v>
      </c>
      <c r="AX21">
        <v>0</v>
      </c>
      <c r="AY21">
        <v>0</v>
      </c>
      <c r="AZ21">
        <v>0</v>
      </c>
      <c r="BA21">
        <v>0</v>
      </c>
      <c r="BB21" t="s">
        <v>441</v>
      </c>
      <c r="BC21">
        <v>0</v>
      </c>
      <c r="BD21">
        <v>0</v>
      </c>
      <c r="BE21">
        <v>0</v>
      </c>
      <c r="BF21">
        <v>0</v>
      </c>
      <c r="BG21" t="s">
        <v>441</v>
      </c>
      <c r="BH21">
        <v>0</v>
      </c>
      <c r="BI21">
        <v>0</v>
      </c>
      <c r="BJ21">
        <v>0</v>
      </c>
      <c r="BK21">
        <v>0</v>
      </c>
      <c r="BL21" t="s">
        <v>441</v>
      </c>
      <c r="BM21">
        <v>11344538</v>
      </c>
      <c r="BN21">
        <v>11344538</v>
      </c>
      <c r="BO21">
        <v>9887360</v>
      </c>
      <c r="BP21">
        <v>1457178</v>
      </c>
      <c r="BQ21" t="s">
        <v>1251</v>
      </c>
      <c r="BR21">
        <v>1457178</v>
      </c>
      <c r="BS21" t="s">
        <v>1251</v>
      </c>
      <c r="BT21">
        <v>0</v>
      </c>
      <c r="BU21">
        <v>0</v>
      </c>
      <c r="BV21">
        <v>13500000</v>
      </c>
      <c r="BW21">
        <v>0</v>
      </c>
      <c r="BX21">
        <v>0</v>
      </c>
      <c r="BY21">
        <v>0</v>
      </c>
      <c r="BZ21">
        <v>13500000</v>
      </c>
      <c r="CA21">
        <v>11344538</v>
      </c>
      <c r="CB21">
        <v>1457178</v>
      </c>
      <c r="CC21" t="s">
        <v>1251</v>
      </c>
      <c r="CD21" t="s">
        <v>426</v>
      </c>
      <c r="CE21">
        <v>0</v>
      </c>
      <c r="CF21" t="s">
        <v>426</v>
      </c>
      <c r="CG21">
        <v>0</v>
      </c>
      <c r="CH21">
        <v>1487500</v>
      </c>
      <c r="CI21">
        <v>90000</v>
      </c>
      <c r="CJ21" t="s">
        <v>426</v>
      </c>
    </row>
    <row r="22" spans="1:88">
      <c r="A22" t="s">
        <v>4</v>
      </c>
      <c r="B22" t="s">
        <v>8</v>
      </c>
      <c r="C22" t="s">
        <v>656</v>
      </c>
      <c r="D22">
        <v>5927</v>
      </c>
      <c r="E22" t="s">
        <v>141</v>
      </c>
      <c r="F22">
        <v>8669391</v>
      </c>
      <c r="G22" t="s">
        <v>592</v>
      </c>
      <c r="H22" t="s">
        <v>657</v>
      </c>
      <c r="I22" t="s">
        <v>426</v>
      </c>
      <c r="J22" t="s">
        <v>658</v>
      </c>
      <c r="K22" t="s">
        <v>426</v>
      </c>
      <c r="L22" t="s">
        <v>659</v>
      </c>
      <c r="M22" t="s">
        <v>475</v>
      </c>
      <c r="N22" t="s">
        <v>660</v>
      </c>
      <c r="O22" t="s">
        <v>426</v>
      </c>
      <c r="P22" t="s">
        <v>430</v>
      </c>
      <c r="Q22" t="s">
        <v>6</v>
      </c>
      <c r="R22" t="s">
        <v>431</v>
      </c>
      <c r="S22" t="s">
        <v>25</v>
      </c>
      <c r="T22" t="s">
        <v>432</v>
      </c>
      <c r="U22" t="s">
        <v>22</v>
      </c>
      <c r="V22" t="s">
        <v>142</v>
      </c>
      <c r="W22" t="s">
        <v>143</v>
      </c>
      <c r="X22" t="s">
        <v>143</v>
      </c>
      <c r="Y22" t="s">
        <v>143</v>
      </c>
      <c r="Z22" t="s">
        <v>433</v>
      </c>
      <c r="AA22">
        <v>2025</v>
      </c>
      <c r="AB22" t="s">
        <v>434</v>
      </c>
      <c r="AC22">
        <v>19879</v>
      </c>
      <c r="AD22" t="s">
        <v>661</v>
      </c>
      <c r="AE22" t="s">
        <v>426</v>
      </c>
      <c r="AF22" t="s">
        <v>662</v>
      </c>
      <c r="AG22">
        <v>16812766</v>
      </c>
      <c r="AH22" t="s">
        <v>663</v>
      </c>
      <c r="AI22" t="s">
        <v>426</v>
      </c>
      <c r="AJ22">
        <v>0</v>
      </c>
      <c r="AK22" t="s">
        <v>565</v>
      </c>
      <c r="AL22" t="s">
        <v>663</v>
      </c>
      <c r="AM22" t="s">
        <v>566</v>
      </c>
      <c r="AN22" t="s">
        <v>439</v>
      </c>
      <c r="AO22" t="s">
        <v>426</v>
      </c>
      <c r="AP22">
        <v>111</v>
      </c>
      <c r="AQ22">
        <v>18058824</v>
      </c>
      <c r="AR22">
        <v>-2773109</v>
      </c>
      <c r="AS22">
        <v>-621849</v>
      </c>
      <c r="AT22">
        <v>14663866</v>
      </c>
      <c r="AU22">
        <v>13985120</v>
      </c>
      <c r="AV22">
        <v>678746</v>
      </c>
      <c r="AW22" t="s">
        <v>1252</v>
      </c>
      <c r="AX22">
        <v>0</v>
      </c>
      <c r="AY22">
        <v>764231</v>
      </c>
      <c r="AZ22">
        <v>764231</v>
      </c>
      <c r="BA22">
        <v>0</v>
      </c>
      <c r="BB22" t="s">
        <v>441</v>
      </c>
      <c r="BC22">
        <v>0</v>
      </c>
      <c r="BD22">
        <v>0</v>
      </c>
      <c r="BE22">
        <v>0</v>
      </c>
      <c r="BF22">
        <v>0</v>
      </c>
      <c r="BG22" t="s">
        <v>441</v>
      </c>
      <c r="BH22">
        <v>0</v>
      </c>
      <c r="BI22">
        <v>0</v>
      </c>
      <c r="BJ22">
        <v>0</v>
      </c>
      <c r="BK22">
        <v>0</v>
      </c>
      <c r="BL22" t="s">
        <v>441</v>
      </c>
      <c r="BM22">
        <v>15285715</v>
      </c>
      <c r="BN22">
        <v>15428097</v>
      </c>
      <c r="BO22">
        <v>14924351</v>
      </c>
      <c r="BP22">
        <v>503746</v>
      </c>
      <c r="BQ22" t="s">
        <v>1253</v>
      </c>
      <c r="BR22">
        <v>503746</v>
      </c>
      <c r="BS22" t="s">
        <v>1253</v>
      </c>
      <c r="BT22">
        <v>0</v>
      </c>
      <c r="BU22">
        <v>0</v>
      </c>
      <c r="BV22">
        <v>18214231</v>
      </c>
      <c r="BW22">
        <v>0</v>
      </c>
      <c r="BX22">
        <v>764231</v>
      </c>
      <c r="BY22">
        <v>0</v>
      </c>
      <c r="BZ22">
        <v>18214232</v>
      </c>
      <c r="CA22">
        <v>15428097</v>
      </c>
      <c r="CB22">
        <v>503746</v>
      </c>
      <c r="CC22" t="s">
        <v>1253</v>
      </c>
      <c r="CD22" t="s">
        <v>426</v>
      </c>
      <c r="CE22">
        <v>0</v>
      </c>
      <c r="CF22" t="s">
        <v>426</v>
      </c>
      <c r="CG22">
        <v>0</v>
      </c>
      <c r="CH22">
        <v>3364900</v>
      </c>
      <c r="CI22">
        <v>175000</v>
      </c>
      <c r="CJ22" t="s">
        <v>426</v>
      </c>
    </row>
    <row r="23" spans="1:88">
      <c r="A23" t="s">
        <v>4</v>
      </c>
      <c r="B23" t="s">
        <v>5</v>
      </c>
      <c r="C23" t="s">
        <v>666</v>
      </c>
      <c r="D23">
        <v>5931</v>
      </c>
      <c r="E23" t="s">
        <v>74</v>
      </c>
      <c r="F23">
        <v>6506064</v>
      </c>
      <c r="G23" t="s">
        <v>592</v>
      </c>
      <c r="H23" t="s">
        <v>667</v>
      </c>
      <c r="I23" t="s">
        <v>668</v>
      </c>
      <c r="J23" t="s">
        <v>426</v>
      </c>
      <c r="K23" t="s">
        <v>426</v>
      </c>
      <c r="L23" t="s">
        <v>447</v>
      </c>
      <c r="M23" t="s">
        <v>669</v>
      </c>
      <c r="N23" t="s">
        <v>670</v>
      </c>
      <c r="O23" t="s">
        <v>426</v>
      </c>
      <c r="P23" t="s">
        <v>463</v>
      </c>
      <c r="Q23" t="s">
        <v>6</v>
      </c>
      <c r="R23" t="s">
        <v>464</v>
      </c>
      <c r="S23" t="s">
        <v>10</v>
      </c>
      <c r="T23" t="s">
        <v>606</v>
      </c>
      <c r="U23" t="s">
        <v>11</v>
      </c>
      <c r="V23" t="s">
        <v>75</v>
      </c>
      <c r="W23" t="s">
        <v>76</v>
      </c>
      <c r="X23" t="s">
        <v>76</v>
      </c>
      <c r="Y23" t="s">
        <v>426</v>
      </c>
      <c r="Z23" t="s">
        <v>433</v>
      </c>
      <c r="AA23">
        <v>2025</v>
      </c>
      <c r="AB23" t="s">
        <v>434</v>
      </c>
      <c r="AC23">
        <v>19883</v>
      </c>
      <c r="AD23" t="s">
        <v>671</v>
      </c>
      <c r="AE23" t="s">
        <v>426</v>
      </c>
      <c r="AF23" t="s">
        <v>672</v>
      </c>
      <c r="AG23">
        <v>23804093</v>
      </c>
      <c r="AH23" t="s">
        <v>671</v>
      </c>
      <c r="AI23" t="s">
        <v>426</v>
      </c>
      <c r="AJ23">
        <v>0</v>
      </c>
      <c r="AK23" t="s">
        <v>437</v>
      </c>
      <c r="AL23" t="s">
        <v>671</v>
      </c>
      <c r="AM23" t="s">
        <v>438</v>
      </c>
      <c r="AN23" t="s">
        <v>439</v>
      </c>
      <c r="AO23" t="s">
        <v>426</v>
      </c>
      <c r="AP23">
        <v>0</v>
      </c>
      <c r="AQ23">
        <v>25789916</v>
      </c>
      <c r="AR23">
        <v>-2436975</v>
      </c>
      <c r="AS23">
        <v>-504202</v>
      </c>
      <c r="AT23">
        <v>22848740</v>
      </c>
      <c r="AU23">
        <v>21109219</v>
      </c>
      <c r="AV23">
        <v>1739521</v>
      </c>
      <c r="AW23" t="s">
        <v>1254</v>
      </c>
      <c r="AX23">
        <v>0</v>
      </c>
      <c r="AY23">
        <v>1592887</v>
      </c>
      <c r="AZ23">
        <v>1592887</v>
      </c>
      <c r="BA23">
        <v>0</v>
      </c>
      <c r="BB23" t="s">
        <v>441</v>
      </c>
      <c r="BC23">
        <v>0</v>
      </c>
      <c r="BD23">
        <v>0</v>
      </c>
      <c r="BE23">
        <v>0</v>
      </c>
      <c r="BF23">
        <v>0</v>
      </c>
      <c r="BG23" t="s">
        <v>441</v>
      </c>
      <c r="BH23">
        <v>0</v>
      </c>
      <c r="BI23">
        <v>0</v>
      </c>
      <c r="BJ23">
        <v>0</v>
      </c>
      <c r="BK23">
        <v>0</v>
      </c>
      <c r="BL23" t="s">
        <v>441</v>
      </c>
      <c r="BM23">
        <v>23352941</v>
      </c>
      <c r="BN23">
        <v>24441627</v>
      </c>
      <c r="BO23">
        <v>22877106</v>
      </c>
      <c r="BP23">
        <v>1564521</v>
      </c>
      <c r="BQ23" t="s">
        <v>1255</v>
      </c>
      <c r="BR23">
        <v>1564521</v>
      </c>
      <c r="BS23" t="s">
        <v>1255</v>
      </c>
      <c r="BT23">
        <v>0</v>
      </c>
      <c r="BU23">
        <v>0</v>
      </c>
      <c r="BV23">
        <v>28782887</v>
      </c>
      <c r="BW23">
        <v>0</v>
      </c>
      <c r="BX23">
        <v>1592887</v>
      </c>
      <c r="BY23">
        <v>0</v>
      </c>
      <c r="BZ23">
        <v>28782888</v>
      </c>
      <c r="CA23">
        <v>24441627</v>
      </c>
      <c r="CB23">
        <v>1564521</v>
      </c>
      <c r="CC23" t="s">
        <v>1255</v>
      </c>
      <c r="CD23" t="s">
        <v>426</v>
      </c>
      <c r="CE23">
        <v>0</v>
      </c>
      <c r="CF23" t="s">
        <v>426</v>
      </c>
      <c r="CG23">
        <v>0</v>
      </c>
      <c r="CH23">
        <v>3206900</v>
      </c>
      <c r="CI23">
        <v>175000</v>
      </c>
      <c r="CJ23" t="s">
        <v>426</v>
      </c>
    </row>
    <row r="24" spans="1:88">
      <c r="A24" t="s">
        <v>4</v>
      </c>
      <c r="B24" t="s">
        <v>5</v>
      </c>
      <c r="C24" t="s">
        <v>675</v>
      </c>
      <c r="D24">
        <v>5934</v>
      </c>
      <c r="E24" t="s">
        <v>77</v>
      </c>
      <c r="F24">
        <v>86868900</v>
      </c>
      <c r="G24" t="s">
        <v>676</v>
      </c>
      <c r="H24" t="s">
        <v>677</v>
      </c>
      <c r="I24" t="s">
        <v>678</v>
      </c>
      <c r="J24" t="s">
        <v>426</v>
      </c>
      <c r="K24" t="s">
        <v>426</v>
      </c>
      <c r="L24" t="s">
        <v>427</v>
      </c>
      <c r="M24" t="s">
        <v>475</v>
      </c>
      <c r="N24" t="s">
        <v>679</v>
      </c>
      <c r="O24" t="s">
        <v>426</v>
      </c>
      <c r="P24" t="s">
        <v>490</v>
      </c>
      <c r="Q24" t="s">
        <v>6</v>
      </c>
      <c r="R24" t="s">
        <v>464</v>
      </c>
      <c r="S24" t="s">
        <v>15</v>
      </c>
      <c r="T24" t="s">
        <v>680</v>
      </c>
      <c r="U24" t="s">
        <v>7</v>
      </c>
      <c r="V24" t="s">
        <v>78</v>
      </c>
      <c r="W24" t="s">
        <v>79</v>
      </c>
      <c r="X24" t="s">
        <v>79</v>
      </c>
      <c r="Y24" t="s">
        <v>79</v>
      </c>
      <c r="Z24" t="s">
        <v>433</v>
      </c>
      <c r="AA24">
        <v>2025</v>
      </c>
      <c r="AB24" t="s">
        <v>584</v>
      </c>
      <c r="AC24">
        <v>19884</v>
      </c>
      <c r="AD24" t="s">
        <v>671</v>
      </c>
      <c r="AE24" t="s">
        <v>426</v>
      </c>
      <c r="AF24" t="s">
        <v>681</v>
      </c>
      <c r="AG24">
        <v>13054340</v>
      </c>
      <c r="AH24" t="s">
        <v>671</v>
      </c>
      <c r="AI24" t="s">
        <v>426</v>
      </c>
      <c r="AJ24">
        <v>0</v>
      </c>
      <c r="AK24" t="s">
        <v>437</v>
      </c>
      <c r="AL24" t="s">
        <v>671</v>
      </c>
      <c r="AM24" t="s">
        <v>499</v>
      </c>
      <c r="AN24" t="s">
        <v>439</v>
      </c>
      <c r="AO24" t="s">
        <v>426</v>
      </c>
      <c r="AP24">
        <v>0</v>
      </c>
      <c r="AQ24">
        <v>15340000</v>
      </c>
      <c r="AR24">
        <v>-1450000</v>
      </c>
      <c r="AS24">
        <v>-920400</v>
      </c>
      <c r="AT24">
        <v>12969600</v>
      </c>
      <c r="AU24">
        <v>11854340</v>
      </c>
      <c r="AV24">
        <v>1115260</v>
      </c>
      <c r="AW24" t="s">
        <v>682</v>
      </c>
      <c r="AX24">
        <v>0</v>
      </c>
      <c r="AY24">
        <v>485138</v>
      </c>
      <c r="AZ24">
        <v>485138</v>
      </c>
      <c r="BA24">
        <v>0</v>
      </c>
      <c r="BB24" t="s">
        <v>441</v>
      </c>
      <c r="BC24">
        <v>0</v>
      </c>
      <c r="BD24">
        <v>0</v>
      </c>
      <c r="BE24">
        <v>0</v>
      </c>
      <c r="BF24">
        <v>0</v>
      </c>
      <c r="BG24" t="s">
        <v>441</v>
      </c>
      <c r="BH24">
        <v>0</v>
      </c>
      <c r="BI24">
        <v>0</v>
      </c>
      <c r="BJ24">
        <v>0</v>
      </c>
      <c r="BK24">
        <v>0</v>
      </c>
      <c r="BL24" t="s">
        <v>441</v>
      </c>
      <c r="BM24">
        <v>13890000</v>
      </c>
      <c r="BN24">
        <v>13454738</v>
      </c>
      <c r="BO24">
        <v>12429478</v>
      </c>
      <c r="BP24">
        <v>1025260</v>
      </c>
      <c r="BQ24" t="s">
        <v>1256</v>
      </c>
      <c r="BR24">
        <v>1025260</v>
      </c>
      <c r="BS24" t="s">
        <v>1256</v>
      </c>
      <c r="BT24">
        <v>0</v>
      </c>
      <c r="BU24">
        <v>0</v>
      </c>
      <c r="BV24">
        <v>15918962</v>
      </c>
      <c r="BW24">
        <v>0</v>
      </c>
      <c r="BX24">
        <v>485138</v>
      </c>
      <c r="BY24">
        <v>0</v>
      </c>
      <c r="BZ24">
        <v>15918962</v>
      </c>
      <c r="CA24">
        <v>13454738</v>
      </c>
      <c r="CB24">
        <v>1025260</v>
      </c>
      <c r="CC24" t="s">
        <v>1256</v>
      </c>
      <c r="CD24" t="s">
        <v>426</v>
      </c>
      <c r="CE24">
        <v>0</v>
      </c>
      <c r="CF24" t="s">
        <v>426</v>
      </c>
      <c r="CG24">
        <v>0</v>
      </c>
      <c r="CH24">
        <v>1428000</v>
      </c>
      <c r="CI24">
        <v>90000</v>
      </c>
      <c r="CJ24" t="s">
        <v>426</v>
      </c>
    </row>
    <row r="25" spans="1:88">
      <c r="A25" t="s">
        <v>4</v>
      </c>
      <c r="B25" t="s">
        <v>30</v>
      </c>
      <c r="C25" t="s">
        <v>683</v>
      </c>
      <c r="D25">
        <v>5937</v>
      </c>
      <c r="E25" t="s">
        <v>80</v>
      </c>
      <c r="F25">
        <v>5388894</v>
      </c>
      <c r="G25" t="s">
        <v>503</v>
      </c>
      <c r="H25" t="s">
        <v>684</v>
      </c>
      <c r="I25" t="s">
        <v>685</v>
      </c>
      <c r="J25" t="s">
        <v>426</v>
      </c>
      <c r="K25" t="s">
        <v>426</v>
      </c>
      <c r="L25" t="s">
        <v>603</v>
      </c>
      <c r="M25" t="s">
        <v>686</v>
      </c>
      <c r="N25" t="s">
        <v>687</v>
      </c>
      <c r="O25" t="s">
        <v>426</v>
      </c>
      <c r="P25" t="s">
        <v>509</v>
      </c>
      <c r="Q25" t="s">
        <v>6</v>
      </c>
      <c r="R25" t="s">
        <v>688</v>
      </c>
      <c r="S25" t="s">
        <v>81</v>
      </c>
      <c r="T25" t="s">
        <v>689</v>
      </c>
      <c r="U25" t="s">
        <v>11</v>
      </c>
      <c r="V25" t="s">
        <v>82</v>
      </c>
      <c r="W25" t="s">
        <v>83</v>
      </c>
      <c r="X25" t="s">
        <v>83</v>
      </c>
      <c r="Y25" t="s">
        <v>83</v>
      </c>
      <c r="Z25" t="s">
        <v>433</v>
      </c>
      <c r="AA25">
        <v>2024</v>
      </c>
      <c r="AB25" t="s">
        <v>434</v>
      </c>
      <c r="AC25">
        <v>19888</v>
      </c>
      <c r="AD25" t="s">
        <v>690</v>
      </c>
      <c r="AE25" t="s">
        <v>426</v>
      </c>
      <c r="AF25" t="s">
        <v>691</v>
      </c>
      <c r="AG25">
        <v>14445294</v>
      </c>
      <c r="AH25" t="s">
        <v>690</v>
      </c>
      <c r="AI25" t="s">
        <v>426</v>
      </c>
      <c r="AJ25">
        <v>0</v>
      </c>
      <c r="AK25" t="s">
        <v>533</v>
      </c>
      <c r="AL25" t="s">
        <v>690</v>
      </c>
      <c r="AM25" t="s">
        <v>438</v>
      </c>
      <c r="AN25" t="s">
        <v>439</v>
      </c>
      <c r="AO25" t="s">
        <v>692</v>
      </c>
      <c r="AP25">
        <v>414</v>
      </c>
      <c r="AQ25">
        <v>15873950</v>
      </c>
      <c r="AR25">
        <v>-4117647</v>
      </c>
      <c r="AS25">
        <v>-274736</v>
      </c>
      <c r="AT25">
        <v>11481566</v>
      </c>
      <c r="AU25">
        <v>13492857</v>
      </c>
      <c r="AV25">
        <v>-2011291</v>
      </c>
      <c r="AW25" t="s">
        <v>1257</v>
      </c>
      <c r="AX25">
        <v>0</v>
      </c>
      <c r="AY25">
        <v>326936</v>
      </c>
      <c r="AZ25">
        <v>326936</v>
      </c>
      <c r="BA25">
        <v>0</v>
      </c>
      <c r="BB25" t="s">
        <v>441</v>
      </c>
      <c r="BC25">
        <v>0</v>
      </c>
      <c r="BD25">
        <v>0</v>
      </c>
      <c r="BE25">
        <v>0</v>
      </c>
      <c r="BF25">
        <v>0</v>
      </c>
      <c r="BG25" t="s">
        <v>441</v>
      </c>
      <c r="BH25">
        <v>0</v>
      </c>
      <c r="BI25">
        <v>0</v>
      </c>
      <c r="BJ25">
        <v>0</v>
      </c>
      <c r="BK25">
        <v>0</v>
      </c>
      <c r="BL25" t="s">
        <v>441</v>
      </c>
      <c r="BM25">
        <v>11756303</v>
      </c>
      <c r="BN25">
        <v>11808502</v>
      </c>
      <c r="BO25">
        <v>13894793</v>
      </c>
      <c r="BP25">
        <v>-2086291</v>
      </c>
      <c r="BQ25" t="s">
        <v>1258</v>
      </c>
      <c r="BR25">
        <v>-2086291</v>
      </c>
      <c r="BS25" t="s">
        <v>1258</v>
      </c>
      <c r="BT25">
        <v>0</v>
      </c>
      <c r="BU25">
        <v>2200000</v>
      </c>
      <c r="BV25">
        <v>11790000</v>
      </c>
      <c r="BW25">
        <v>0</v>
      </c>
      <c r="BX25">
        <v>326936</v>
      </c>
      <c r="BY25">
        <v>0</v>
      </c>
      <c r="BZ25">
        <v>13990000</v>
      </c>
      <c r="CA25">
        <v>11808502</v>
      </c>
      <c r="CB25">
        <v>-2086291</v>
      </c>
      <c r="CC25" t="s">
        <v>1258</v>
      </c>
      <c r="CD25" t="s">
        <v>426</v>
      </c>
      <c r="CE25">
        <v>0</v>
      </c>
      <c r="CF25" t="s">
        <v>426</v>
      </c>
      <c r="CG25">
        <v>0</v>
      </c>
      <c r="CH25">
        <v>1133400</v>
      </c>
      <c r="CI25">
        <v>75000</v>
      </c>
      <c r="CJ25" t="s">
        <v>426</v>
      </c>
    </row>
    <row r="26" spans="1:88">
      <c r="A26" t="s">
        <v>4</v>
      </c>
      <c r="B26" t="s">
        <v>8</v>
      </c>
      <c r="C26" t="s">
        <v>695</v>
      </c>
      <c r="D26">
        <v>5938</v>
      </c>
      <c r="E26" t="s">
        <v>67</v>
      </c>
      <c r="F26">
        <v>76257832</v>
      </c>
      <c r="G26" t="s">
        <v>537</v>
      </c>
      <c r="H26" t="s">
        <v>538</v>
      </c>
      <c r="I26" t="s">
        <v>426</v>
      </c>
      <c r="J26" t="s">
        <v>539</v>
      </c>
      <c r="K26" t="s">
        <v>426</v>
      </c>
      <c r="L26" t="s">
        <v>540</v>
      </c>
      <c r="M26" t="s">
        <v>475</v>
      </c>
      <c r="N26" t="s">
        <v>541</v>
      </c>
      <c r="O26" t="s">
        <v>426</v>
      </c>
      <c r="P26" t="s">
        <v>490</v>
      </c>
      <c r="Q26" t="s">
        <v>6</v>
      </c>
      <c r="R26" t="s">
        <v>491</v>
      </c>
      <c r="S26" t="s">
        <v>24</v>
      </c>
      <c r="T26" t="s">
        <v>492</v>
      </c>
      <c r="U26" t="s">
        <v>7</v>
      </c>
      <c r="V26" t="s">
        <v>68</v>
      </c>
      <c r="W26" t="s">
        <v>69</v>
      </c>
      <c r="X26" t="s">
        <v>69</v>
      </c>
      <c r="Y26" t="s">
        <v>69</v>
      </c>
      <c r="Z26" t="s">
        <v>433</v>
      </c>
      <c r="AA26">
        <v>2025</v>
      </c>
      <c r="AB26" t="s">
        <v>584</v>
      </c>
      <c r="AC26">
        <v>19906</v>
      </c>
      <c r="AD26" t="s">
        <v>696</v>
      </c>
      <c r="AE26" t="s">
        <v>426</v>
      </c>
      <c r="AF26" t="s">
        <v>697</v>
      </c>
      <c r="AG26">
        <v>11047360</v>
      </c>
      <c r="AH26" t="s">
        <v>696</v>
      </c>
      <c r="AI26" t="s">
        <v>426</v>
      </c>
      <c r="AJ26">
        <v>0</v>
      </c>
      <c r="AK26" t="s">
        <v>437</v>
      </c>
      <c r="AL26" t="s">
        <v>696</v>
      </c>
      <c r="AM26" t="s">
        <v>481</v>
      </c>
      <c r="AN26" t="s">
        <v>439</v>
      </c>
      <c r="AO26" t="s">
        <v>426</v>
      </c>
      <c r="AP26">
        <v>98</v>
      </c>
      <c r="AQ26">
        <v>12640000</v>
      </c>
      <c r="AR26">
        <v>-1250000</v>
      </c>
      <c r="AS26">
        <v>-758067</v>
      </c>
      <c r="AT26">
        <v>10631933</v>
      </c>
      <c r="AU26">
        <v>9797360</v>
      </c>
      <c r="AV26">
        <v>834573</v>
      </c>
      <c r="AW26" t="s">
        <v>1259</v>
      </c>
      <c r="AX26">
        <v>0</v>
      </c>
      <c r="AY26">
        <v>407238</v>
      </c>
      <c r="AZ26">
        <v>407238</v>
      </c>
      <c r="BA26">
        <v>0</v>
      </c>
      <c r="BB26" t="s">
        <v>441</v>
      </c>
      <c r="BC26">
        <v>0</v>
      </c>
      <c r="BD26">
        <v>0</v>
      </c>
      <c r="BE26">
        <v>0</v>
      </c>
      <c r="BF26">
        <v>0</v>
      </c>
      <c r="BG26" t="s">
        <v>441</v>
      </c>
      <c r="BH26">
        <v>0</v>
      </c>
      <c r="BI26">
        <v>0</v>
      </c>
      <c r="BJ26">
        <v>0</v>
      </c>
      <c r="BK26">
        <v>0</v>
      </c>
      <c r="BL26" t="s">
        <v>441</v>
      </c>
      <c r="BM26">
        <v>11390000</v>
      </c>
      <c r="BN26">
        <v>11039171</v>
      </c>
      <c r="BO26">
        <v>10294598</v>
      </c>
      <c r="BP26">
        <v>744573</v>
      </c>
      <c r="BQ26" t="s">
        <v>1260</v>
      </c>
      <c r="BR26">
        <v>744573</v>
      </c>
      <c r="BS26" t="s">
        <v>1260</v>
      </c>
      <c r="BT26">
        <v>0</v>
      </c>
      <c r="BU26">
        <v>0</v>
      </c>
      <c r="BV26">
        <v>13059238</v>
      </c>
      <c r="BW26">
        <v>0</v>
      </c>
      <c r="BX26">
        <v>407238</v>
      </c>
      <c r="BY26">
        <v>0</v>
      </c>
      <c r="BZ26">
        <v>13059238</v>
      </c>
      <c r="CA26">
        <v>11039171</v>
      </c>
      <c r="CB26">
        <v>744573</v>
      </c>
      <c r="CC26" t="s">
        <v>1260</v>
      </c>
      <c r="CD26" t="s">
        <v>426</v>
      </c>
      <c r="CE26">
        <v>0</v>
      </c>
      <c r="CF26" t="s">
        <v>426</v>
      </c>
      <c r="CG26">
        <v>0</v>
      </c>
      <c r="CH26">
        <v>1487500</v>
      </c>
      <c r="CI26">
        <v>90000</v>
      </c>
      <c r="CJ26" t="s">
        <v>426</v>
      </c>
    </row>
    <row r="27" spans="1:88">
      <c r="A27" t="s">
        <v>4</v>
      </c>
      <c r="B27" t="s">
        <v>5</v>
      </c>
      <c r="C27" t="s">
        <v>699</v>
      </c>
      <c r="D27">
        <v>5946</v>
      </c>
      <c r="E27" t="s">
        <v>70</v>
      </c>
      <c r="F27">
        <v>76431332</v>
      </c>
      <c r="G27" t="s">
        <v>503</v>
      </c>
      <c r="H27" t="s">
        <v>700</v>
      </c>
      <c r="I27" t="s">
        <v>701</v>
      </c>
      <c r="J27" t="s">
        <v>426</v>
      </c>
      <c r="K27" t="s">
        <v>426</v>
      </c>
      <c r="L27" t="s">
        <v>474</v>
      </c>
      <c r="M27" t="s">
        <v>426</v>
      </c>
      <c r="N27" t="s">
        <v>702</v>
      </c>
      <c r="O27" t="s">
        <v>426</v>
      </c>
      <c r="P27" t="s">
        <v>490</v>
      </c>
      <c r="Q27" t="s">
        <v>6</v>
      </c>
      <c r="R27" t="s">
        <v>491</v>
      </c>
      <c r="S27" t="s">
        <v>71</v>
      </c>
      <c r="T27" t="s">
        <v>642</v>
      </c>
      <c r="U27" t="s">
        <v>7</v>
      </c>
      <c r="V27" t="s">
        <v>72</v>
      </c>
      <c r="W27" t="s">
        <v>73</v>
      </c>
      <c r="X27" t="s">
        <v>73</v>
      </c>
      <c r="Y27" t="s">
        <v>73</v>
      </c>
      <c r="Z27" t="s">
        <v>433</v>
      </c>
      <c r="AA27">
        <v>2025</v>
      </c>
      <c r="AB27" t="s">
        <v>434</v>
      </c>
      <c r="AC27">
        <v>19943</v>
      </c>
      <c r="AD27" t="s">
        <v>703</v>
      </c>
      <c r="AE27" t="s">
        <v>426</v>
      </c>
      <c r="AF27" t="s">
        <v>704</v>
      </c>
      <c r="AG27">
        <v>12096160</v>
      </c>
      <c r="AH27" t="s">
        <v>705</v>
      </c>
      <c r="AI27" t="s">
        <v>426</v>
      </c>
      <c r="AJ27">
        <v>0</v>
      </c>
      <c r="AK27" t="s">
        <v>437</v>
      </c>
      <c r="AL27" t="s">
        <v>705</v>
      </c>
      <c r="AM27" t="s">
        <v>499</v>
      </c>
      <c r="AN27" t="s">
        <v>439</v>
      </c>
      <c r="AO27" t="s">
        <v>706</v>
      </c>
      <c r="AP27">
        <v>98</v>
      </c>
      <c r="AQ27">
        <v>13840000</v>
      </c>
      <c r="AR27">
        <v>-2150000</v>
      </c>
      <c r="AS27">
        <v>-942101</v>
      </c>
      <c r="AT27">
        <v>10747899</v>
      </c>
      <c r="AU27">
        <v>10620110</v>
      </c>
      <c r="AV27">
        <v>127789</v>
      </c>
      <c r="AW27" t="s">
        <v>1261</v>
      </c>
      <c r="AX27">
        <v>0</v>
      </c>
      <c r="AY27">
        <v>328487</v>
      </c>
      <c r="AZ27">
        <v>328487</v>
      </c>
      <c r="BA27">
        <v>0</v>
      </c>
      <c r="BB27" t="s">
        <v>441</v>
      </c>
      <c r="BC27">
        <v>0</v>
      </c>
      <c r="BD27">
        <v>0</v>
      </c>
      <c r="BE27">
        <v>0</v>
      </c>
      <c r="BF27">
        <v>0</v>
      </c>
      <c r="BG27" t="s">
        <v>441</v>
      </c>
      <c r="BH27">
        <v>0</v>
      </c>
      <c r="BI27">
        <v>0</v>
      </c>
      <c r="BJ27">
        <v>0</v>
      </c>
      <c r="BK27">
        <v>0</v>
      </c>
      <c r="BL27" t="s">
        <v>441</v>
      </c>
      <c r="BM27">
        <v>11690000</v>
      </c>
      <c r="BN27">
        <v>11076386</v>
      </c>
      <c r="BO27">
        <v>11038597</v>
      </c>
      <c r="BP27">
        <v>37789</v>
      </c>
      <c r="BQ27" t="s">
        <v>1262</v>
      </c>
      <c r="BR27">
        <v>37789</v>
      </c>
      <c r="BS27" t="s">
        <v>1262</v>
      </c>
      <c r="BT27">
        <v>0</v>
      </c>
      <c r="BU27">
        <v>9000000</v>
      </c>
      <c r="BV27">
        <v>10709913</v>
      </c>
      <c r="BW27">
        <v>-6591426</v>
      </c>
      <c r="BX27">
        <v>328487</v>
      </c>
      <c r="BY27">
        <v>0</v>
      </c>
      <c r="BZ27">
        <v>13118487</v>
      </c>
      <c r="CA27">
        <v>11076386</v>
      </c>
      <c r="CB27">
        <v>37789</v>
      </c>
      <c r="CC27" t="s">
        <v>1262</v>
      </c>
      <c r="CD27" t="s">
        <v>426</v>
      </c>
      <c r="CE27">
        <v>0</v>
      </c>
      <c r="CF27" t="s">
        <v>426</v>
      </c>
      <c r="CG27">
        <v>0</v>
      </c>
      <c r="CH27">
        <v>1756500</v>
      </c>
      <c r="CI27">
        <v>90000</v>
      </c>
      <c r="CJ27" t="s">
        <v>426</v>
      </c>
    </row>
    <row r="28" spans="1:88">
      <c r="A28" t="s">
        <v>4</v>
      </c>
      <c r="B28" t="s">
        <v>5</v>
      </c>
      <c r="C28" t="s">
        <v>708</v>
      </c>
      <c r="D28">
        <v>5947</v>
      </c>
      <c r="E28" t="s">
        <v>70</v>
      </c>
      <c r="F28">
        <v>76431332</v>
      </c>
      <c r="G28" t="s">
        <v>503</v>
      </c>
      <c r="H28" t="s">
        <v>700</v>
      </c>
      <c r="I28" t="s">
        <v>701</v>
      </c>
      <c r="J28" t="s">
        <v>426</v>
      </c>
      <c r="K28" t="s">
        <v>426</v>
      </c>
      <c r="L28" t="s">
        <v>474</v>
      </c>
      <c r="M28" t="s">
        <v>426</v>
      </c>
      <c r="N28" t="s">
        <v>702</v>
      </c>
      <c r="O28" t="s">
        <v>426</v>
      </c>
      <c r="P28" t="s">
        <v>490</v>
      </c>
      <c r="Q28" t="s">
        <v>6</v>
      </c>
      <c r="R28" t="s">
        <v>491</v>
      </c>
      <c r="S28" t="s">
        <v>24</v>
      </c>
      <c r="T28" t="s">
        <v>492</v>
      </c>
      <c r="U28" t="s">
        <v>7</v>
      </c>
      <c r="V28" t="s">
        <v>144</v>
      </c>
      <c r="W28" t="s">
        <v>145</v>
      </c>
      <c r="X28" t="s">
        <v>145</v>
      </c>
      <c r="Y28" t="s">
        <v>145</v>
      </c>
      <c r="Z28" t="s">
        <v>433</v>
      </c>
      <c r="AA28">
        <v>2025</v>
      </c>
      <c r="AB28" t="s">
        <v>434</v>
      </c>
      <c r="AC28">
        <v>19944</v>
      </c>
      <c r="AD28" t="s">
        <v>703</v>
      </c>
      <c r="AE28" t="s">
        <v>426</v>
      </c>
      <c r="AF28" t="s">
        <v>709</v>
      </c>
      <c r="AG28">
        <v>11287520</v>
      </c>
      <c r="AH28" t="s">
        <v>705</v>
      </c>
      <c r="AI28" t="s">
        <v>426</v>
      </c>
      <c r="AJ28">
        <v>0</v>
      </c>
      <c r="AK28" t="s">
        <v>437</v>
      </c>
      <c r="AL28" t="s">
        <v>705</v>
      </c>
      <c r="AM28" t="s">
        <v>499</v>
      </c>
      <c r="AN28" t="s">
        <v>439</v>
      </c>
      <c r="AO28" t="s">
        <v>426</v>
      </c>
      <c r="AP28">
        <v>8</v>
      </c>
      <c r="AQ28">
        <v>12640000</v>
      </c>
      <c r="AR28">
        <v>-2050000</v>
      </c>
      <c r="AS28">
        <v>-934538</v>
      </c>
      <c r="AT28">
        <v>9655462</v>
      </c>
      <c r="AU28">
        <v>10037520</v>
      </c>
      <c r="AV28">
        <v>-382058</v>
      </c>
      <c r="AW28" t="s">
        <v>1263</v>
      </c>
      <c r="AX28">
        <v>0</v>
      </c>
      <c r="AY28">
        <v>295713</v>
      </c>
      <c r="AZ28">
        <v>295713</v>
      </c>
      <c r="BA28">
        <v>0</v>
      </c>
      <c r="BB28" t="s">
        <v>441</v>
      </c>
      <c r="BC28">
        <v>0</v>
      </c>
      <c r="BD28">
        <v>0</v>
      </c>
      <c r="BE28">
        <v>0</v>
      </c>
      <c r="BF28">
        <v>0</v>
      </c>
      <c r="BG28" t="s">
        <v>441</v>
      </c>
      <c r="BH28">
        <v>0</v>
      </c>
      <c r="BI28">
        <v>0</v>
      </c>
      <c r="BJ28">
        <v>0</v>
      </c>
      <c r="BK28">
        <v>0</v>
      </c>
      <c r="BL28" t="s">
        <v>441</v>
      </c>
      <c r="BM28">
        <v>10590000</v>
      </c>
      <c r="BN28">
        <v>9951175</v>
      </c>
      <c r="BO28">
        <v>10423233</v>
      </c>
      <c r="BP28">
        <v>-472058</v>
      </c>
      <c r="BQ28" t="s">
        <v>1264</v>
      </c>
      <c r="BR28">
        <v>-472058</v>
      </c>
      <c r="BS28" t="s">
        <v>1264</v>
      </c>
      <c r="BT28">
        <v>0</v>
      </c>
      <c r="BU28">
        <v>0</v>
      </c>
      <c r="BV28">
        <v>11785713</v>
      </c>
      <c r="BW28">
        <v>0</v>
      </c>
      <c r="BX28">
        <v>295713</v>
      </c>
      <c r="BY28">
        <v>0</v>
      </c>
      <c r="BZ28">
        <v>11785713</v>
      </c>
      <c r="CA28">
        <v>9951175</v>
      </c>
      <c r="CB28">
        <v>-472058</v>
      </c>
      <c r="CC28" t="s">
        <v>1264</v>
      </c>
      <c r="CD28" t="s">
        <v>426</v>
      </c>
      <c r="CE28">
        <v>0</v>
      </c>
      <c r="CF28" t="s">
        <v>426</v>
      </c>
      <c r="CG28">
        <v>0</v>
      </c>
      <c r="CH28">
        <v>1487500</v>
      </c>
      <c r="CI28">
        <v>90000</v>
      </c>
      <c r="CJ28" t="s">
        <v>426</v>
      </c>
    </row>
    <row r="29" spans="1:88">
      <c r="A29" t="s">
        <v>4</v>
      </c>
      <c r="B29" t="s">
        <v>5</v>
      </c>
      <c r="C29" t="s">
        <v>712</v>
      </c>
      <c r="D29">
        <v>5948</v>
      </c>
      <c r="E29" t="s">
        <v>70</v>
      </c>
      <c r="F29">
        <v>76431332</v>
      </c>
      <c r="G29" t="s">
        <v>503</v>
      </c>
      <c r="H29" t="s">
        <v>700</v>
      </c>
      <c r="I29" t="s">
        <v>701</v>
      </c>
      <c r="J29" t="s">
        <v>426</v>
      </c>
      <c r="K29" t="s">
        <v>426</v>
      </c>
      <c r="L29" t="s">
        <v>474</v>
      </c>
      <c r="M29" t="s">
        <v>426</v>
      </c>
      <c r="N29" t="s">
        <v>702</v>
      </c>
      <c r="O29" t="s">
        <v>426</v>
      </c>
      <c r="P29" t="s">
        <v>490</v>
      </c>
      <c r="Q29" t="s">
        <v>6</v>
      </c>
      <c r="R29" t="s">
        <v>491</v>
      </c>
      <c r="S29" t="s">
        <v>24</v>
      </c>
      <c r="T29" t="s">
        <v>492</v>
      </c>
      <c r="U29" t="s">
        <v>7</v>
      </c>
      <c r="V29" t="s">
        <v>146</v>
      </c>
      <c r="W29" t="s">
        <v>147</v>
      </c>
      <c r="X29" t="s">
        <v>147</v>
      </c>
      <c r="Y29" t="s">
        <v>147</v>
      </c>
      <c r="Z29" t="s">
        <v>433</v>
      </c>
      <c r="AA29">
        <v>2025</v>
      </c>
      <c r="AB29" t="s">
        <v>434</v>
      </c>
      <c r="AC29">
        <v>19945</v>
      </c>
      <c r="AD29" t="s">
        <v>703</v>
      </c>
      <c r="AE29" t="s">
        <v>426</v>
      </c>
      <c r="AF29" t="s">
        <v>713</v>
      </c>
      <c r="AG29">
        <v>11287520</v>
      </c>
      <c r="AH29" t="s">
        <v>705</v>
      </c>
      <c r="AI29" t="s">
        <v>426</v>
      </c>
      <c r="AJ29">
        <v>0</v>
      </c>
      <c r="AK29" t="s">
        <v>437</v>
      </c>
      <c r="AL29" t="s">
        <v>705</v>
      </c>
      <c r="AM29" t="s">
        <v>499</v>
      </c>
      <c r="AN29" t="s">
        <v>439</v>
      </c>
      <c r="AO29" t="s">
        <v>426</v>
      </c>
      <c r="AP29">
        <v>8</v>
      </c>
      <c r="AQ29">
        <v>13840000</v>
      </c>
      <c r="AR29">
        <v>-2050000</v>
      </c>
      <c r="AS29">
        <v>-934538</v>
      </c>
      <c r="AT29">
        <v>9655462</v>
      </c>
      <c r="AU29">
        <v>9363571</v>
      </c>
      <c r="AV29">
        <v>291891</v>
      </c>
      <c r="AW29" t="s">
        <v>1265</v>
      </c>
      <c r="AX29">
        <v>0</v>
      </c>
      <c r="AY29">
        <v>295713</v>
      </c>
      <c r="AZ29">
        <v>295713</v>
      </c>
      <c r="BA29">
        <v>0</v>
      </c>
      <c r="BB29" t="s">
        <v>441</v>
      </c>
      <c r="BC29">
        <v>0</v>
      </c>
      <c r="BD29">
        <v>0</v>
      </c>
      <c r="BE29">
        <v>0</v>
      </c>
      <c r="BF29">
        <v>0</v>
      </c>
      <c r="BG29" t="s">
        <v>441</v>
      </c>
      <c r="BH29">
        <v>0</v>
      </c>
      <c r="BI29">
        <v>0</v>
      </c>
      <c r="BJ29">
        <v>0</v>
      </c>
      <c r="BK29">
        <v>0</v>
      </c>
      <c r="BL29" t="s">
        <v>441</v>
      </c>
      <c r="BM29">
        <v>11790000</v>
      </c>
      <c r="BN29">
        <v>9951175</v>
      </c>
      <c r="BO29">
        <v>9749284</v>
      </c>
      <c r="BP29">
        <v>201891</v>
      </c>
      <c r="BQ29" t="s">
        <v>1266</v>
      </c>
      <c r="BR29">
        <v>201891</v>
      </c>
      <c r="BS29" t="s">
        <v>1266</v>
      </c>
      <c r="BT29">
        <v>0</v>
      </c>
      <c r="BU29">
        <v>0</v>
      </c>
      <c r="BV29">
        <v>11785713</v>
      </c>
      <c r="BW29">
        <v>0</v>
      </c>
      <c r="BX29">
        <v>295713</v>
      </c>
      <c r="BY29">
        <v>0</v>
      </c>
      <c r="BZ29">
        <v>11785713</v>
      </c>
      <c r="CA29">
        <v>9951175</v>
      </c>
      <c r="CB29">
        <v>201891</v>
      </c>
      <c r="CC29" t="s">
        <v>1266</v>
      </c>
      <c r="CD29" t="s">
        <v>426</v>
      </c>
      <c r="CE29">
        <v>0</v>
      </c>
      <c r="CF29" t="s">
        <v>426</v>
      </c>
      <c r="CG29">
        <v>0</v>
      </c>
      <c r="CH29">
        <v>2289500</v>
      </c>
      <c r="CI29">
        <v>90000</v>
      </c>
      <c r="CJ29" t="s">
        <v>426</v>
      </c>
    </row>
    <row r="30" spans="1:88">
      <c r="A30" t="s">
        <v>4</v>
      </c>
      <c r="B30" t="s">
        <v>8</v>
      </c>
      <c r="C30" t="s">
        <v>716</v>
      </c>
      <c r="D30">
        <v>5949</v>
      </c>
      <c r="E30" t="s">
        <v>148</v>
      </c>
      <c r="F30">
        <v>10653803</v>
      </c>
      <c r="G30" t="s">
        <v>485</v>
      </c>
      <c r="H30" t="s">
        <v>717</v>
      </c>
      <c r="I30" t="s">
        <v>718</v>
      </c>
      <c r="J30" t="s">
        <v>426</v>
      </c>
      <c r="K30" t="s">
        <v>426</v>
      </c>
      <c r="L30" t="s">
        <v>719</v>
      </c>
      <c r="M30" t="s">
        <v>720</v>
      </c>
      <c r="N30" t="s">
        <v>721</v>
      </c>
      <c r="O30" t="s">
        <v>426</v>
      </c>
      <c r="P30" t="s">
        <v>430</v>
      </c>
      <c r="Q30" t="s">
        <v>6</v>
      </c>
      <c r="R30" t="s">
        <v>431</v>
      </c>
      <c r="S30" t="s">
        <v>25</v>
      </c>
      <c r="T30" t="s">
        <v>432</v>
      </c>
      <c r="U30" t="s">
        <v>26</v>
      </c>
      <c r="V30" t="s">
        <v>149</v>
      </c>
      <c r="W30" t="s">
        <v>150</v>
      </c>
      <c r="X30" t="s">
        <v>150</v>
      </c>
      <c r="Y30" t="s">
        <v>150</v>
      </c>
      <c r="Z30" t="s">
        <v>433</v>
      </c>
      <c r="AA30">
        <v>2025</v>
      </c>
      <c r="AB30" t="s">
        <v>434</v>
      </c>
      <c r="AC30">
        <v>19925</v>
      </c>
      <c r="AD30" t="s">
        <v>722</v>
      </c>
      <c r="AE30" t="s">
        <v>426</v>
      </c>
      <c r="AF30" t="s">
        <v>723</v>
      </c>
      <c r="AG30">
        <v>16848883</v>
      </c>
      <c r="AH30" t="s">
        <v>722</v>
      </c>
      <c r="AI30" t="s">
        <v>426</v>
      </c>
      <c r="AJ30">
        <v>0</v>
      </c>
      <c r="AK30" t="s">
        <v>437</v>
      </c>
      <c r="AL30" t="s">
        <v>722</v>
      </c>
      <c r="AM30" t="s">
        <v>481</v>
      </c>
      <c r="AN30" t="s">
        <v>439</v>
      </c>
      <c r="AO30" t="s">
        <v>426</v>
      </c>
      <c r="AP30">
        <v>32</v>
      </c>
      <c r="AQ30">
        <v>18058824</v>
      </c>
      <c r="AR30">
        <v>-1470588</v>
      </c>
      <c r="AS30">
        <v>-1083529</v>
      </c>
      <c r="AT30">
        <v>15504706</v>
      </c>
      <c r="AU30">
        <v>15197707</v>
      </c>
      <c r="AV30">
        <v>306999</v>
      </c>
      <c r="AW30" t="s">
        <v>1267</v>
      </c>
      <c r="AX30">
        <v>0</v>
      </c>
      <c r="AY30">
        <v>889892</v>
      </c>
      <c r="AZ30">
        <v>889892</v>
      </c>
      <c r="BA30">
        <v>0</v>
      </c>
      <c r="BB30" t="s">
        <v>441</v>
      </c>
      <c r="BC30">
        <v>0</v>
      </c>
      <c r="BD30">
        <v>0</v>
      </c>
      <c r="BE30">
        <v>0</v>
      </c>
      <c r="BF30">
        <v>0</v>
      </c>
      <c r="BG30" t="s">
        <v>441</v>
      </c>
      <c r="BH30">
        <v>0</v>
      </c>
      <c r="BI30">
        <v>0</v>
      </c>
      <c r="BJ30">
        <v>0</v>
      </c>
      <c r="BK30">
        <v>0</v>
      </c>
      <c r="BL30" t="s">
        <v>441</v>
      </c>
      <c r="BM30">
        <v>16588236</v>
      </c>
      <c r="BN30">
        <v>16394598</v>
      </c>
      <c r="BO30">
        <v>16262599</v>
      </c>
      <c r="BP30">
        <v>131999</v>
      </c>
      <c r="BQ30" t="s">
        <v>1268</v>
      </c>
      <c r="BR30">
        <v>131999</v>
      </c>
      <c r="BS30" t="s">
        <v>1268</v>
      </c>
      <c r="BT30">
        <v>0</v>
      </c>
      <c r="BU30">
        <v>0</v>
      </c>
      <c r="BV30">
        <v>19340492</v>
      </c>
      <c r="BW30">
        <v>0</v>
      </c>
      <c r="BX30">
        <v>889892</v>
      </c>
      <c r="BY30">
        <v>0</v>
      </c>
      <c r="BZ30">
        <v>19340492</v>
      </c>
      <c r="CA30">
        <v>16394598</v>
      </c>
      <c r="CB30">
        <v>131999</v>
      </c>
      <c r="CC30" t="s">
        <v>1268</v>
      </c>
      <c r="CD30" t="s">
        <v>426</v>
      </c>
      <c r="CE30">
        <v>0</v>
      </c>
      <c r="CF30" t="s">
        <v>426</v>
      </c>
      <c r="CG30">
        <v>0</v>
      </c>
      <c r="CH30">
        <v>1964900</v>
      </c>
      <c r="CI30">
        <v>175000</v>
      </c>
      <c r="CJ30" t="s">
        <v>426</v>
      </c>
    </row>
    <row r="31" spans="1:88">
      <c r="A31" t="s">
        <v>4</v>
      </c>
      <c r="B31" t="s">
        <v>8</v>
      </c>
      <c r="C31" t="s">
        <v>726</v>
      </c>
      <c r="D31">
        <v>5950</v>
      </c>
      <c r="E31" t="s">
        <v>151</v>
      </c>
      <c r="F31">
        <v>17166024</v>
      </c>
      <c r="G31" t="s">
        <v>458</v>
      </c>
      <c r="H31" t="s">
        <v>727</v>
      </c>
      <c r="I31" t="s">
        <v>426</v>
      </c>
      <c r="J31" t="s">
        <v>728</v>
      </c>
      <c r="K31" t="s">
        <v>426</v>
      </c>
      <c r="L31" t="s">
        <v>528</v>
      </c>
      <c r="M31" t="s">
        <v>475</v>
      </c>
      <c r="N31" t="s">
        <v>729</v>
      </c>
      <c r="O31" t="s">
        <v>426</v>
      </c>
      <c r="P31" t="s">
        <v>463</v>
      </c>
      <c r="Q31" t="s">
        <v>6</v>
      </c>
      <c r="R31" t="s">
        <v>730</v>
      </c>
      <c r="S31" t="s">
        <v>152</v>
      </c>
      <c r="T31" t="s">
        <v>731</v>
      </c>
      <c r="U31" t="s">
        <v>11</v>
      </c>
      <c r="V31" t="s">
        <v>153</v>
      </c>
      <c r="W31" t="s">
        <v>154</v>
      </c>
      <c r="X31" t="s">
        <v>154</v>
      </c>
      <c r="Y31" t="s">
        <v>426</v>
      </c>
      <c r="Z31" t="s">
        <v>433</v>
      </c>
      <c r="AA31">
        <v>2025</v>
      </c>
      <c r="AB31" t="s">
        <v>434</v>
      </c>
      <c r="AC31">
        <v>19921</v>
      </c>
      <c r="AD31" t="s">
        <v>722</v>
      </c>
      <c r="AE31" t="s">
        <v>426</v>
      </c>
      <c r="AF31" t="s">
        <v>732</v>
      </c>
      <c r="AG31">
        <v>14888798</v>
      </c>
      <c r="AH31" t="s">
        <v>722</v>
      </c>
      <c r="AI31" t="s">
        <v>426</v>
      </c>
      <c r="AJ31">
        <v>0</v>
      </c>
      <c r="AK31" t="s">
        <v>565</v>
      </c>
      <c r="AL31" t="s">
        <v>722</v>
      </c>
      <c r="AM31" t="s">
        <v>481</v>
      </c>
      <c r="AN31" t="s">
        <v>439</v>
      </c>
      <c r="AO31" t="s">
        <v>426</v>
      </c>
      <c r="AP31">
        <v>0</v>
      </c>
      <c r="AQ31">
        <v>15537815</v>
      </c>
      <c r="AR31">
        <v>-1554622</v>
      </c>
      <c r="AS31">
        <v>-718109</v>
      </c>
      <c r="AT31">
        <v>13685252</v>
      </c>
      <c r="AU31">
        <v>13174596</v>
      </c>
      <c r="AV31">
        <v>510656</v>
      </c>
      <c r="AW31" t="s">
        <v>1269</v>
      </c>
      <c r="AX31">
        <v>0</v>
      </c>
      <c r="AY31">
        <v>784550</v>
      </c>
      <c r="AZ31">
        <v>784550</v>
      </c>
      <c r="BA31">
        <v>0</v>
      </c>
      <c r="BB31" t="s">
        <v>441</v>
      </c>
      <c r="BC31">
        <v>0</v>
      </c>
      <c r="BD31">
        <v>0</v>
      </c>
      <c r="BE31">
        <v>0</v>
      </c>
      <c r="BF31">
        <v>0</v>
      </c>
      <c r="BG31" t="s">
        <v>441</v>
      </c>
      <c r="BH31">
        <v>0</v>
      </c>
      <c r="BI31">
        <v>0</v>
      </c>
      <c r="BJ31">
        <v>0</v>
      </c>
      <c r="BK31">
        <v>0</v>
      </c>
      <c r="BL31" t="s">
        <v>441</v>
      </c>
      <c r="BM31">
        <v>13983193</v>
      </c>
      <c r="BN31">
        <v>14469802</v>
      </c>
      <c r="BO31">
        <v>14104146</v>
      </c>
      <c r="BP31">
        <v>365656</v>
      </c>
      <c r="BQ31" t="s">
        <v>1234</v>
      </c>
      <c r="BR31">
        <v>365656</v>
      </c>
      <c r="BS31" t="s">
        <v>1234</v>
      </c>
      <c r="BT31">
        <v>0</v>
      </c>
      <c r="BU31">
        <v>0</v>
      </c>
      <c r="BV31">
        <v>17070000</v>
      </c>
      <c r="BW31">
        <v>0</v>
      </c>
      <c r="BX31">
        <v>784550</v>
      </c>
      <c r="BY31">
        <v>0</v>
      </c>
      <c r="BZ31">
        <v>17070000</v>
      </c>
      <c r="CA31">
        <v>14469802</v>
      </c>
      <c r="CB31">
        <v>365656</v>
      </c>
      <c r="CC31" t="s">
        <v>1234</v>
      </c>
      <c r="CD31" t="s">
        <v>426</v>
      </c>
      <c r="CE31">
        <v>0</v>
      </c>
      <c r="CF31" t="s">
        <v>426</v>
      </c>
      <c r="CG31">
        <v>0</v>
      </c>
      <c r="CH31">
        <v>2039900</v>
      </c>
      <c r="CI31">
        <v>145000</v>
      </c>
      <c r="CJ31" t="s">
        <v>426</v>
      </c>
    </row>
    <row r="32" spans="1:88">
      <c r="A32" t="s">
        <v>4</v>
      </c>
      <c r="B32" t="s">
        <v>8</v>
      </c>
      <c r="C32" t="s">
        <v>735</v>
      </c>
      <c r="D32">
        <v>5951</v>
      </c>
      <c r="E32" t="s">
        <v>155</v>
      </c>
      <c r="F32">
        <v>4863497</v>
      </c>
      <c r="G32" t="s">
        <v>485</v>
      </c>
      <c r="H32" t="s">
        <v>736</v>
      </c>
      <c r="I32" t="s">
        <v>737</v>
      </c>
      <c r="J32" t="s">
        <v>426</v>
      </c>
      <c r="K32" t="s">
        <v>426</v>
      </c>
      <c r="L32" t="s">
        <v>488</v>
      </c>
      <c r="M32" t="s">
        <v>738</v>
      </c>
      <c r="N32" t="s">
        <v>739</v>
      </c>
      <c r="O32" t="s">
        <v>426</v>
      </c>
      <c r="P32" t="s">
        <v>430</v>
      </c>
      <c r="Q32" t="s">
        <v>6</v>
      </c>
      <c r="R32" t="s">
        <v>464</v>
      </c>
      <c r="S32" t="s">
        <v>29</v>
      </c>
      <c r="T32" t="s">
        <v>596</v>
      </c>
      <c r="U32" t="s">
        <v>7</v>
      </c>
      <c r="V32" t="s">
        <v>156</v>
      </c>
      <c r="W32" t="s">
        <v>157</v>
      </c>
      <c r="X32" t="s">
        <v>157</v>
      </c>
      <c r="Y32" t="s">
        <v>157</v>
      </c>
      <c r="Z32" t="s">
        <v>433</v>
      </c>
      <c r="AA32">
        <v>2025</v>
      </c>
      <c r="AB32" t="s">
        <v>434</v>
      </c>
      <c r="AC32">
        <v>19924</v>
      </c>
      <c r="AD32" t="s">
        <v>722</v>
      </c>
      <c r="AE32" t="s">
        <v>426</v>
      </c>
      <c r="AF32" t="s">
        <v>740</v>
      </c>
      <c r="AG32">
        <v>16396017</v>
      </c>
      <c r="AH32" t="s">
        <v>722</v>
      </c>
      <c r="AI32" t="s">
        <v>426</v>
      </c>
      <c r="AJ32">
        <v>0</v>
      </c>
      <c r="AK32" t="s">
        <v>565</v>
      </c>
      <c r="AL32" t="s">
        <v>722</v>
      </c>
      <c r="AM32" t="s">
        <v>481</v>
      </c>
      <c r="AN32" t="s">
        <v>439</v>
      </c>
      <c r="AO32" t="s">
        <v>426</v>
      </c>
      <c r="AP32">
        <v>0</v>
      </c>
      <c r="AQ32">
        <v>17134454</v>
      </c>
      <c r="AR32">
        <v>-1848739</v>
      </c>
      <c r="AS32">
        <v>-457563</v>
      </c>
      <c r="AT32">
        <v>14828151</v>
      </c>
      <c r="AU32">
        <v>14371732</v>
      </c>
      <c r="AV32">
        <v>456419</v>
      </c>
      <c r="AW32" t="s">
        <v>1270</v>
      </c>
      <c r="AX32">
        <v>0</v>
      </c>
      <c r="AY32">
        <v>844500</v>
      </c>
      <c r="AZ32">
        <v>844500</v>
      </c>
      <c r="BA32">
        <v>0</v>
      </c>
      <c r="BB32" t="s">
        <v>441</v>
      </c>
      <c r="BC32">
        <v>0</v>
      </c>
      <c r="BD32">
        <v>0</v>
      </c>
      <c r="BE32">
        <v>0</v>
      </c>
      <c r="BF32">
        <v>0</v>
      </c>
      <c r="BG32" t="s">
        <v>441</v>
      </c>
      <c r="BH32">
        <v>0</v>
      </c>
      <c r="BI32">
        <v>0</v>
      </c>
      <c r="BJ32">
        <v>0</v>
      </c>
      <c r="BK32">
        <v>0</v>
      </c>
      <c r="BL32" t="s">
        <v>441</v>
      </c>
      <c r="BM32">
        <v>15285715</v>
      </c>
      <c r="BN32">
        <v>15672651</v>
      </c>
      <c r="BO32">
        <v>15361232</v>
      </c>
      <c r="BP32">
        <v>311419</v>
      </c>
      <c r="BQ32" t="s">
        <v>1271</v>
      </c>
      <c r="BR32">
        <v>311419</v>
      </c>
      <c r="BS32" t="s">
        <v>1271</v>
      </c>
      <c r="BT32">
        <v>0</v>
      </c>
      <c r="BU32">
        <v>0</v>
      </c>
      <c r="BV32">
        <v>18490000</v>
      </c>
      <c r="BW32">
        <v>0</v>
      </c>
      <c r="BX32">
        <v>844500</v>
      </c>
      <c r="BY32">
        <v>0</v>
      </c>
      <c r="BZ32">
        <v>18490000</v>
      </c>
      <c r="CA32">
        <v>15672651</v>
      </c>
      <c r="CB32">
        <v>311419</v>
      </c>
      <c r="CC32" t="s">
        <v>1271</v>
      </c>
      <c r="CD32" t="s">
        <v>426</v>
      </c>
      <c r="CE32">
        <v>0</v>
      </c>
      <c r="CF32" t="s">
        <v>426</v>
      </c>
      <c r="CG32">
        <v>0</v>
      </c>
      <c r="CH32">
        <v>2408899</v>
      </c>
      <c r="CI32">
        <v>145000</v>
      </c>
      <c r="CJ32" t="s">
        <v>426</v>
      </c>
    </row>
    <row r="33" spans="1:88">
      <c r="A33" t="s">
        <v>4</v>
      </c>
      <c r="B33" t="s">
        <v>8</v>
      </c>
      <c r="C33" t="s">
        <v>743</v>
      </c>
      <c r="D33">
        <v>5954</v>
      </c>
      <c r="E33" t="s">
        <v>158</v>
      </c>
      <c r="F33">
        <v>19894192</v>
      </c>
      <c r="G33" t="s">
        <v>503</v>
      </c>
      <c r="H33" t="s">
        <v>744</v>
      </c>
      <c r="I33" t="s">
        <v>426</v>
      </c>
      <c r="J33" t="s">
        <v>745</v>
      </c>
      <c r="K33" t="s">
        <v>426</v>
      </c>
      <c r="L33" t="s">
        <v>488</v>
      </c>
      <c r="M33" t="s">
        <v>475</v>
      </c>
      <c r="N33" t="s">
        <v>746</v>
      </c>
      <c r="O33" t="s">
        <v>426</v>
      </c>
      <c r="P33" t="s">
        <v>430</v>
      </c>
      <c r="Q33" t="s">
        <v>6</v>
      </c>
      <c r="R33" t="s">
        <v>464</v>
      </c>
      <c r="S33" t="s">
        <v>20</v>
      </c>
      <c r="T33" t="s">
        <v>747</v>
      </c>
      <c r="U33" t="s">
        <v>21</v>
      </c>
      <c r="V33" t="s">
        <v>159</v>
      </c>
      <c r="W33" t="s">
        <v>160</v>
      </c>
      <c r="X33" t="s">
        <v>160</v>
      </c>
      <c r="Y33" t="s">
        <v>160</v>
      </c>
      <c r="Z33" t="s">
        <v>433</v>
      </c>
      <c r="AA33">
        <v>2025</v>
      </c>
      <c r="AB33" t="s">
        <v>434</v>
      </c>
      <c r="AC33">
        <v>19920</v>
      </c>
      <c r="AD33" t="s">
        <v>722</v>
      </c>
      <c r="AE33" t="s">
        <v>426</v>
      </c>
      <c r="AF33" t="s">
        <v>748</v>
      </c>
      <c r="AG33">
        <v>18103335</v>
      </c>
      <c r="AH33" t="s">
        <v>749</v>
      </c>
      <c r="AI33" t="s">
        <v>426</v>
      </c>
      <c r="AJ33">
        <v>0</v>
      </c>
      <c r="AK33" t="s">
        <v>565</v>
      </c>
      <c r="AL33" t="s">
        <v>749</v>
      </c>
      <c r="AM33" t="s">
        <v>566</v>
      </c>
      <c r="AN33" t="s">
        <v>439</v>
      </c>
      <c r="AO33" t="s">
        <v>426</v>
      </c>
      <c r="AP33">
        <v>0</v>
      </c>
      <c r="AQ33">
        <v>19403361</v>
      </c>
      <c r="AR33">
        <v>-3739496</v>
      </c>
      <c r="AS33">
        <v>-537815</v>
      </c>
      <c r="AT33">
        <v>15126050</v>
      </c>
      <c r="AU33">
        <v>14295856</v>
      </c>
      <c r="AV33">
        <v>830194</v>
      </c>
      <c r="AW33" t="s">
        <v>1272</v>
      </c>
      <c r="AX33">
        <v>0</v>
      </c>
      <c r="AY33">
        <v>784164</v>
      </c>
      <c r="AZ33">
        <v>784164</v>
      </c>
      <c r="BA33">
        <v>0</v>
      </c>
      <c r="BB33" t="s">
        <v>441</v>
      </c>
      <c r="BC33">
        <v>0</v>
      </c>
      <c r="BD33">
        <v>0</v>
      </c>
      <c r="BE33">
        <v>0</v>
      </c>
      <c r="BF33">
        <v>0</v>
      </c>
      <c r="BG33" t="s">
        <v>441</v>
      </c>
      <c r="BH33">
        <v>0</v>
      </c>
      <c r="BI33">
        <v>0</v>
      </c>
      <c r="BJ33">
        <v>0</v>
      </c>
      <c r="BK33">
        <v>0</v>
      </c>
      <c r="BL33" t="s">
        <v>441</v>
      </c>
      <c r="BM33">
        <v>15663865</v>
      </c>
      <c r="BN33">
        <v>15910214</v>
      </c>
      <c r="BO33">
        <v>15225020</v>
      </c>
      <c r="BP33">
        <v>685194</v>
      </c>
      <c r="BQ33" t="s">
        <v>1273</v>
      </c>
      <c r="BR33">
        <v>685194</v>
      </c>
      <c r="BS33" t="s">
        <v>1273</v>
      </c>
      <c r="BT33">
        <v>0</v>
      </c>
      <c r="BU33">
        <v>0</v>
      </c>
      <c r="BV33">
        <v>18784164</v>
      </c>
      <c r="BW33">
        <v>0</v>
      </c>
      <c r="BX33">
        <v>784164</v>
      </c>
      <c r="BY33">
        <v>0</v>
      </c>
      <c r="BZ33">
        <v>18784164</v>
      </c>
      <c r="CA33">
        <v>15910214</v>
      </c>
      <c r="CB33">
        <v>685194</v>
      </c>
      <c r="CC33" t="s">
        <v>1273</v>
      </c>
      <c r="CD33" t="s">
        <v>426</v>
      </c>
      <c r="CE33">
        <v>0</v>
      </c>
      <c r="CF33" t="s">
        <v>426</v>
      </c>
      <c r="CG33">
        <v>0</v>
      </c>
      <c r="CH33">
        <v>4530900</v>
      </c>
      <c r="CI33">
        <v>145000</v>
      </c>
      <c r="CJ33" t="s">
        <v>426</v>
      </c>
    </row>
    <row r="34" spans="1:88">
      <c r="A34" t="s">
        <v>4</v>
      </c>
      <c r="B34" t="s">
        <v>8</v>
      </c>
      <c r="C34" t="s">
        <v>752</v>
      </c>
      <c r="D34">
        <v>5958</v>
      </c>
      <c r="E34" t="s">
        <v>161</v>
      </c>
      <c r="F34">
        <v>15313830</v>
      </c>
      <c r="G34" t="s">
        <v>423</v>
      </c>
      <c r="H34" t="s">
        <v>753</v>
      </c>
      <c r="I34" t="s">
        <v>426</v>
      </c>
      <c r="J34" t="s">
        <v>754</v>
      </c>
      <c r="K34" t="s">
        <v>426</v>
      </c>
      <c r="L34" t="s">
        <v>488</v>
      </c>
      <c r="M34" t="s">
        <v>475</v>
      </c>
      <c r="N34" t="s">
        <v>755</v>
      </c>
      <c r="O34" t="s">
        <v>426</v>
      </c>
      <c r="P34" t="s">
        <v>430</v>
      </c>
      <c r="Q34" t="s">
        <v>6</v>
      </c>
      <c r="R34" t="s">
        <v>431</v>
      </c>
      <c r="S34" t="s">
        <v>17</v>
      </c>
      <c r="T34" t="s">
        <v>552</v>
      </c>
      <c r="U34" t="s">
        <v>26</v>
      </c>
      <c r="V34" t="s">
        <v>162</v>
      </c>
      <c r="W34" t="s">
        <v>163</v>
      </c>
      <c r="X34" t="s">
        <v>163</v>
      </c>
      <c r="Y34" t="s">
        <v>163</v>
      </c>
      <c r="Z34" t="s">
        <v>433</v>
      </c>
      <c r="AA34">
        <v>2025</v>
      </c>
      <c r="AB34" t="s">
        <v>584</v>
      </c>
      <c r="AC34">
        <v>19918</v>
      </c>
      <c r="AD34" t="s">
        <v>722</v>
      </c>
      <c r="AE34" t="s">
        <v>426</v>
      </c>
      <c r="AF34" t="s">
        <v>756</v>
      </c>
      <c r="AG34">
        <v>17651815</v>
      </c>
      <c r="AH34" t="s">
        <v>722</v>
      </c>
      <c r="AI34" t="s">
        <v>426</v>
      </c>
      <c r="AJ34">
        <v>0</v>
      </c>
      <c r="AK34" t="s">
        <v>565</v>
      </c>
      <c r="AL34" t="s">
        <v>722</v>
      </c>
      <c r="AM34" t="s">
        <v>481</v>
      </c>
      <c r="AN34" t="s">
        <v>439</v>
      </c>
      <c r="AO34" t="s">
        <v>426</v>
      </c>
      <c r="AP34">
        <v>39</v>
      </c>
      <c r="AQ34">
        <v>18899160</v>
      </c>
      <c r="AR34">
        <v>-1218487</v>
      </c>
      <c r="AS34">
        <v>-571429</v>
      </c>
      <c r="AT34">
        <v>17109244</v>
      </c>
      <c r="AU34">
        <v>16244336</v>
      </c>
      <c r="AV34">
        <v>864908</v>
      </c>
      <c r="AW34" t="s">
        <v>1274</v>
      </c>
      <c r="AX34">
        <v>0</v>
      </c>
      <c r="AY34">
        <v>977613</v>
      </c>
      <c r="AZ34">
        <v>977613</v>
      </c>
      <c r="BA34">
        <v>0</v>
      </c>
      <c r="BB34" t="s">
        <v>441</v>
      </c>
      <c r="BC34">
        <v>55336</v>
      </c>
      <c r="BD34">
        <v>252101</v>
      </c>
      <c r="BE34">
        <v>0</v>
      </c>
      <c r="BF34">
        <v>0</v>
      </c>
      <c r="BG34" t="s">
        <v>441</v>
      </c>
      <c r="BH34">
        <v>0</v>
      </c>
      <c r="BI34">
        <v>0</v>
      </c>
      <c r="BJ34">
        <v>0</v>
      </c>
      <c r="BK34">
        <v>0</v>
      </c>
      <c r="BL34" t="s">
        <v>441</v>
      </c>
      <c r="BM34">
        <v>17680673</v>
      </c>
      <c r="BN34">
        <v>18338958</v>
      </c>
      <c r="BO34">
        <v>17396949</v>
      </c>
      <c r="BP34">
        <v>942009</v>
      </c>
      <c r="BQ34" t="s">
        <v>1275</v>
      </c>
      <c r="BR34">
        <v>942009</v>
      </c>
      <c r="BS34" t="s">
        <v>1275</v>
      </c>
      <c r="BT34">
        <v>0</v>
      </c>
      <c r="BU34">
        <v>0</v>
      </c>
      <c r="BV34">
        <v>21637613</v>
      </c>
      <c r="BW34">
        <v>0</v>
      </c>
      <c r="BX34">
        <v>977613</v>
      </c>
      <c r="BY34">
        <v>252101</v>
      </c>
      <c r="BZ34">
        <v>21637614</v>
      </c>
      <c r="CA34">
        <v>18338958</v>
      </c>
      <c r="CB34">
        <v>942009</v>
      </c>
      <c r="CC34" t="s">
        <v>1275</v>
      </c>
      <c r="CD34" t="s">
        <v>426</v>
      </c>
      <c r="CE34">
        <v>0</v>
      </c>
      <c r="CF34" t="s">
        <v>426</v>
      </c>
      <c r="CG34">
        <v>0</v>
      </c>
      <c r="CH34">
        <v>1674900</v>
      </c>
      <c r="CI34">
        <v>175000</v>
      </c>
      <c r="CJ34" t="s">
        <v>426</v>
      </c>
    </row>
    <row r="35" spans="1:88">
      <c r="A35" t="s">
        <v>4</v>
      </c>
      <c r="B35" t="s">
        <v>5</v>
      </c>
      <c r="C35" t="s">
        <v>759</v>
      </c>
      <c r="D35">
        <v>5960</v>
      </c>
      <c r="E35" t="s">
        <v>164</v>
      </c>
      <c r="F35">
        <v>8545815</v>
      </c>
      <c r="G35" t="s">
        <v>760</v>
      </c>
      <c r="H35" t="s">
        <v>761</v>
      </c>
      <c r="I35" t="s">
        <v>762</v>
      </c>
      <c r="J35" t="s">
        <v>426</v>
      </c>
      <c r="K35" t="s">
        <v>426</v>
      </c>
      <c r="L35" t="s">
        <v>488</v>
      </c>
      <c r="M35" t="s">
        <v>763</v>
      </c>
      <c r="N35" t="s">
        <v>764</v>
      </c>
      <c r="O35" t="s">
        <v>426</v>
      </c>
      <c r="P35" t="s">
        <v>430</v>
      </c>
      <c r="Q35" t="s">
        <v>6</v>
      </c>
      <c r="R35" t="s">
        <v>431</v>
      </c>
      <c r="S35" t="s">
        <v>165</v>
      </c>
      <c r="T35" t="s">
        <v>765</v>
      </c>
      <c r="U35" t="s">
        <v>85</v>
      </c>
      <c r="V35" t="s">
        <v>166</v>
      </c>
      <c r="W35" t="s">
        <v>167</v>
      </c>
      <c r="X35" t="s">
        <v>167</v>
      </c>
      <c r="Y35" t="s">
        <v>167</v>
      </c>
      <c r="Z35" t="s">
        <v>433</v>
      </c>
      <c r="AA35">
        <v>2025</v>
      </c>
      <c r="AB35" t="s">
        <v>434</v>
      </c>
      <c r="AC35">
        <v>19926</v>
      </c>
      <c r="AD35" t="s">
        <v>766</v>
      </c>
      <c r="AE35" t="s">
        <v>426</v>
      </c>
      <c r="AF35" t="s">
        <v>767</v>
      </c>
      <c r="AG35">
        <v>15795707</v>
      </c>
      <c r="AH35" t="s">
        <v>766</v>
      </c>
      <c r="AI35" t="s">
        <v>426</v>
      </c>
      <c r="AJ35">
        <v>0</v>
      </c>
      <c r="AK35" t="s">
        <v>437</v>
      </c>
      <c r="AL35" t="s">
        <v>766</v>
      </c>
      <c r="AM35" t="s">
        <v>438</v>
      </c>
      <c r="AN35" t="s">
        <v>439</v>
      </c>
      <c r="AO35" t="s">
        <v>426</v>
      </c>
      <c r="AP35">
        <v>123</v>
      </c>
      <c r="AQ35">
        <v>16966386</v>
      </c>
      <c r="AR35">
        <v>-1554622</v>
      </c>
      <c r="AS35">
        <v>-508992</v>
      </c>
      <c r="AT35">
        <v>14902773</v>
      </c>
      <c r="AU35">
        <v>14071421</v>
      </c>
      <c r="AV35">
        <v>831352</v>
      </c>
      <c r="AW35" t="s">
        <v>1276</v>
      </c>
      <c r="AX35">
        <v>0</v>
      </c>
      <c r="AY35">
        <v>860724</v>
      </c>
      <c r="AZ35">
        <v>860724</v>
      </c>
      <c r="BA35">
        <v>0</v>
      </c>
      <c r="BB35" t="s">
        <v>441</v>
      </c>
      <c r="BC35">
        <v>0</v>
      </c>
      <c r="BD35">
        <v>0</v>
      </c>
      <c r="BE35">
        <v>0</v>
      </c>
      <c r="BF35">
        <v>0</v>
      </c>
      <c r="BG35" t="s">
        <v>441</v>
      </c>
      <c r="BH35">
        <v>0</v>
      </c>
      <c r="BI35">
        <v>0</v>
      </c>
      <c r="BJ35">
        <v>0</v>
      </c>
      <c r="BK35">
        <v>0</v>
      </c>
      <c r="BL35" t="s">
        <v>441</v>
      </c>
      <c r="BM35">
        <v>15411764</v>
      </c>
      <c r="BN35">
        <v>15763497</v>
      </c>
      <c r="BO35">
        <v>15107145</v>
      </c>
      <c r="BP35">
        <v>656352</v>
      </c>
      <c r="BQ35" t="s">
        <v>1277</v>
      </c>
      <c r="BR35">
        <v>656352</v>
      </c>
      <c r="BS35" t="s">
        <v>1277</v>
      </c>
      <c r="BT35">
        <v>0</v>
      </c>
      <c r="BU35">
        <v>0</v>
      </c>
      <c r="BV35">
        <v>18595024</v>
      </c>
      <c r="BW35">
        <v>0</v>
      </c>
      <c r="BX35">
        <v>860724</v>
      </c>
      <c r="BY35">
        <v>0</v>
      </c>
      <c r="BZ35">
        <v>18595024</v>
      </c>
      <c r="CA35">
        <v>15763497</v>
      </c>
      <c r="CB35">
        <v>656352</v>
      </c>
      <c r="CC35" t="s">
        <v>1277</v>
      </c>
      <c r="CD35" t="s">
        <v>426</v>
      </c>
      <c r="CE35">
        <v>0</v>
      </c>
      <c r="CF35" t="s">
        <v>426</v>
      </c>
      <c r="CG35">
        <v>0</v>
      </c>
      <c r="CH35">
        <v>2051900</v>
      </c>
      <c r="CI35">
        <v>175000</v>
      </c>
      <c r="CJ35" t="s">
        <v>426</v>
      </c>
    </row>
    <row r="36" spans="1:88">
      <c r="A36" t="s">
        <v>4</v>
      </c>
      <c r="B36" t="s">
        <v>5</v>
      </c>
      <c r="C36" t="s">
        <v>770</v>
      </c>
      <c r="D36">
        <v>5963</v>
      </c>
      <c r="E36" t="s">
        <v>168</v>
      </c>
      <c r="F36">
        <v>15934220</v>
      </c>
      <c r="G36" t="s">
        <v>485</v>
      </c>
      <c r="H36" t="s">
        <v>771</v>
      </c>
      <c r="I36" t="s">
        <v>772</v>
      </c>
      <c r="J36" t="s">
        <v>426</v>
      </c>
      <c r="K36" t="s">
        <v>426</v>
      </c>
      <c r="L36" t="s">
        <v>603</v>
      </c>
      <c r="M36" t="s">
        <v>773</v>
      </c>
      <c r="N36" t="s">
        <v>774</v>
      </c>
      <c r="O36" t="s">
        <v>426</v>
      </c>
      <c r="P36" t="s">
        <v>463</v>
      </c>
      <c r="Q36" t="s">
        <v>6</v>
      </c>
      <c r="R36" t="s">
        <v>464</v>
      </c>
      <c r="S36" t="s">
        <v>28</v>
      </c>
      <c r="T36" t="s">
        <v>775</v>
      </c>
      <c r="U36" t="s">
        <v>13</v>
      </c>
      <c r="V36" t="s">
        <v>169</v>
      </c>
      <c r="W36" t="s">
        <v>170</v>
      </c>
      <c r="X36" t="s">
        <v>170</v>
      </c>
      <c r="Y36" t="s">
        <v>170</v>
      </c>
      <c r="Z36" t="s">
        <v>433</v>
      </c>
      <c r="AA36">
        <v>2025</v>
      </c>
      <c r="AB36" t="s">
        <v>434</v>
      </c>
      <c r="AC36">
        <v>19942</v>
      </c>
      <c r="AD36" t="s">
        <v>652</v>
      </c>
      <c r="AE36" t="s">
        <v>426</v>
      </c>
      <c r="AF36" t="s">
        <v>776</v>
      </c>
      <c r="AG36">
        <v>20025176</v>
      </c>
      <c r="AH36" t="s">
        <v>654</v>
      </c>
      <c r="AI36" t="s">
        <v>426</v>
      </c>
      <c r="AJ36">
        <v>0</v>
      </c>
      <c r="AK36" t="s">
        <v>437</v>
      </c>
      <c r="AL36" t="s">
        <v>654</v>
      </c>
      <c r="AM36" t="s">
        <v>438</v>
      </c>
      <c r="AN36" t="s">
        <v>439</v>
      </c>
      <c r="AO36" t="s">
        <v>426</v>
      </c>
      <c r="AP36">
        <v>97</v>
      </c>
      <c r="AQ36">
        <v>21672269</v>
      </c>
      <c r="AR36">
        <v>-3235294</v>
      </c>
      <c r="AS36">
        <v>-866891</v>
      </c>
      <c r="AT36">
        <v>17570084</v>
      </c>
      <c r="AU36">
        <v>16699209</v>
      </c>
      <c r="AV36">
        <v>870875</v>
      </c>
      <c r="AW36" t="s">
        <v>1278</v>
      </c>
      <c r="AX36">
        <v>0</v>
      </c>
      <c r="AY36">
        <v>1024400</v>
      </c>
      <c r="AZ36">
        <v>1024400</v>
      </c>
      <c r="BA36">
        <v>0</v>
      </c>
      <c r="BB36" t="s">
        <v>441</v>
      </c>
      <c r="BC36">
        <v>0</v>
      </c>
      <c r="BD36">
        <v>0</v>
      </c>
      <c r="BE36">
        <v>0</v>
      </c>
      <c r="BF36">
        <v>0</v>
      </c>
      <c r="BG36" t="s">
        <v>441</v>
      </c>
      <c r="BH36">
        <v>0</v>
      </c>
      <c r="BI36">
        <v>0</v>
      </c>
      <c r="BJ36">
        <v>0</v>
      </c>
      <c r="BK36">
        <v>0</v>
      </c>
      <c r="BL36" t="s">
        <v>441</v>
      </c>
      <c r="BM36">
        <v>18436975</v>
      </c>
      <c r="BN36">
        <v>18594484</v>
      </c>
      <c r="BO36">
        <v>17898609</v>
      </c>
      <c r="BP36">
        <v>695875</v>
      </c>
      <c r="BQ36" t="s">
        <v>1279</v>
      </c>
      <c r="BR36">
        <v>695875</v>
      </c>
      <c r="BS36" t="s">
        <v>1279</v>
      </c>
      <c r="BT36">
        <v>0</v>
      </c>
      <c r="BU36">
        <v>0</v>
      </c>
      <c r="BV36">
        <v>21932800</v>
      </c>
      <c r="BW36">
        <v>0</v>
      </c>
      <c r="BX36">
        <v>1024400</v>
      </c>
      <c r="BY36">
        <v>0</v>
      </c>
      <c r="BZ36">
        <v>21932800</v>
      </c>
      <c r="CA36">
        <v>18594484</v>
      </c>
      <c r="CB36">
        <v>695875</v>
      </c>
      <c r="CC36" t="s">
        <v>1279</v>
      </c>
      <c r="CD36" t="s">
        <v>426</v>
      </c>
      <c r="CE36">
        <v>0</v>
      </c>
      <c r="CF36" t="s">
        <v>426</v>
      </c>
      <c r="CG36">
        <v>0</v>
      </c>
      <c r="CH36">
        <v>3957900</v>
      </c>
      <c r="CI36">
        <v>175000</v>
      </c>
      <c r="CJ36" t="s">
        <v>426</v>
      </c>
    </row>
    <row r="37" spans="1:88">
      <c r="A37" t="s">
        <v>4</v>
      </c>
      <c r="B37" t="s">
        <v>8</v>
      </c>
      <c r="C37" t="s">
        <v>779</v>
      </c>
      <c r="D37">
        <v>5969</v>
      </c>
      <c r="E37" t="s">
        <v>171</v>
      </c>
      <c r="F37">
        <v>18142681</v>
      </c>
      <c r="G37" t="s">
        <v>611</v>
      </c>
      <c r="H37" t="s">
        <v>780</v>
      </c>
      <c r="I37" t="s">
        <v>426</v>
      </c>
      <c r="J37" t="s">
        <v>781</v>
      </c>
      <c r="K37" t="s">
        <v>426</v>
      </c>
      <c r="L37" t="s">
        <v>488</v>
      </c>
      <c r="M37" t="s">
        <v>475</v>
      </c>
      <c r="N37" t="s">
        <v>782</v>
      </c>
      <c r="O37" t="s">
        <v>426</v>
      </c>
      <c r="P37" t="s">
        <v>430</v>
      </c>
      <c r="Q37" t="s">
        <v>6</v>
      </c>
      <c r="R37" t="s">
        <v>426</v>
      </c>
      <c r="S37" t="s">
        <v>18</v>
      </c>
      <c r="T37" t="s">
        <v>783</v>
      </c>
      <c r="U37" t="s">
        <v>11</v>
      </c>
      <c r="V37" t="s">
        <v>172</v>
      </c>
      <c r="W37" t="s">
        <v>173</v>
      </c>
      <c r="X37" t="s">
        <v>173</v>
      </c>
      <c r="Y37" t="s">
        <v>173</v>
      </c>
      <c r="Z37" t="s">
        <v>433</v>
      </c>
      <c r="AA37">
        <v>2025</v>
      </c>
      <c r="AB37" t="s">
        <v>584</v>
      </c>
      <c r="AC37">
        <v>19949</v>
      </c>
      <c r="AD37" t="s">
        <v>633</v>
      </c>
      <c r="AE37" t="s">
        <v>426</v>
      </c>
      <c r="AF37" t="s">
        <v>784</v>
      </c>
      <c r="AG37">
        <v>43474588</v>
      </c>
      <c r="AH37" t="s">
        <v>633</v>
      </c>
      <c r="AI37" t="s">
        <v>426</v>
      </c>
      <c r="AJ37">
        <v>0</v>
      </c>
      <c r="AK37" t="s">
        <v>437</v>
      </c>
      <c r="AL37" t="s">
        <v>633</v>
      </c>
      <c r="AM37" t="s">
        <v>481</v>
      </c>
      <c r="AN37" t="s">
        <v>439</v>
      </c>
      <c r="AO37" t="s">
        <v>426</v>
      </c>
      <c r="AP37">
        <v>31</v>
      </c>
      <c r="AQ37">
        <v>47050420</v>
      </c>
      <c r="AR37">
        <v>-2521008</v>
      </c>
      <c r="AS37">
        <v>-2521008</v>
      </c>
      <c r="AT37">
        <v>42008403</v>
      </c>
      <c r="AU37">
        <v>40483076</v>
      </c>
      <c r="AV37">
        <v>1525327</v>
      </c>
      <c r="AW37" t="s">
        <v>1280</v>
      </c>
      <c r="AX37">
        <v>0</v>
      </c>
      <c r="AY37">
        <v>2749605</v>
      </c>
      <c r="AZ37">
        <v>2749605</v>
      </c>
      <c r="BA37">
        <v>0</v>
      </c>
      <c r="BB37" t="s">
        <v>441</v>
      </c>
      <c r="BC37">
        <v>110500</v>
      </c>
      <c r="BD37">
        <v>168487</v>
      </c>
      <c r="BE37">
        <v>0</v>
      </c>
      <c r="BF37">
        <v>0</v>
      </c>
      <c r="BG37" t="s">
        <v>441</v>
      </c>
      <c r="BH37">
        <v>0</v>
      </c>
      <c r="BI37">
        <v>0</v>
      </c>
      <c r="BJ37">
        <v>0</v>
      </c>
      <c r="BK37">
        <v>0</v>
      </c>
      <c r="BL37" t="s">
        <v>441</v>
      </c>
      <c r="BM37">
        <v>44529412</v>
      </c>
      <c r="BN37">
        <v>44926495</v>
      </c>
      <c r="BO37">
        <v>43467681</v>
      </c>
      <c r="BP37">
        <v>1458814</v>
      </c>
      <c r="BQ37" t="s">
        <v>1281</v>
      </c>
      <c r="BR37">
        <v>1458814</v>
      </c>
      <c r="BS37" t="s">
        <v>1281</v>
      </c>
      <c r="BT37">
        <v>0</v>
      </c>
      <c r="BU37">
        <v>0</v>
      </c>
      <c r="BV37">
        <v>52940105</v>
      </c>
      <c r="BW37">
        <v>0</v>
      </c>
      <c r="BX37">
        <v>2749605</v>
      </c>
      <c r="BY37">
        <v>168487</v>
      </c>
      <c r="BZ37">
        <v>52940104</v>
      </c>
      <c r="CA37">
        <v>44926495</v>
      </c>
      <c r="CB37">
        <v>1458814</v>
      </c>
      <c r="CC37" t="s">
        <v>1281</v>
      </c>
      <c r="CD37" t="s">
        <v>426</v>
      </c>
      <c r="CE37">
        <v>0</v>
      </c>
      <c r="CF37" t="s">
        <v>426</v>
      </c>
      <c r="CG37">
        <v>0</v>
      </c>
      <c r="CH37">
        <v>3559900</v>
      </c>
      <c r="CI37">
        <v>235000</v>
      </c>
      <c r="CJ37" t="s">
        <v>426</v>
      </c>
    </row>
    <row r="38" spans="1:88">
      <c r="A38" t="s">
        <v>32</v>
      </c>
      <c r="B38" t="s">
        <v>33</v>
      </c>
      <c r="C38" t="s">
        <v>1282</v>
      </c>
      <c r="D38">
        <v>5802</v>
      </c>
      <c r="E38" t="s">
        <v>1283</v>
      </c>
      <c r="F38">
        <v>77185477</v>
      </c>
      <c r="G38" t="s">
        <v>444</v>
      </c>
      <c r="H38" t="s">
        <v>1284</v>
      </c>
      <c r="I38" t="s">
        <v>426</v>
      </c>
      <c r="J38" t="s">
        <v>1285</v>
      </c>
      <c r="K38" t="s">
        <v>426</v>
      </c>
      <c r="L38" t="s">
        <v>649</v>
      </c>
      <c r="M38" t="s">
        <v>1286</v>
      </c>
      <c r="N38" t="s">
        <v>1287</v>
      </c>
      <c r="O38" t="s">
        <v>426</v>
      </c>
      <c r="P38" t="s">
        <v>490</v>
      </c>
      <c r="Q38" t="s">
        <v>36</v>
      </c>
      <c r="R38" t="s">
        <v>787</v>
      </c>
      <c r="S38" t="s">
        <v>1288</v>
      </c>
      <c r="T38" t="s">
        <v>1288</v>
      </c>
      <c r="U38" t="s">
        <v>39</v>
      </c>
      <c r="V38" t="s">
        <v>1289</v>
      </c>
      <c r="W38" t="s">
        <v>1290</v>
      </c>
      <c r="X38" t="s">
        <v>1290</v>
      </c>
      <c r="Y38" t="s">
        <v>1290</v>
      </c>
      <c r="Z38" t="s">
        <v>433</v>
      </c>
      <c r="AA38">
        <v>2025</v>
      </c>
      <c r="AB38" t="s">
        <v>584</v>
      </c>
      <c r="AC38">
        <v>19874</v>
      </c>
      <c r="AD38" t="s">
        <v>661</v>
      </c>
      <c r="AE38" t="s">
        <v>426</v>
      </c>
      <c r="AF38" t="s">
        <v>1291</v>
      </c>
      <c r="AG38">
        <v>20046800</v>
      </c>
      <c r="AH38" t="s">
        <v>663</v>
      </c>
      <c r="AI38" t="s">
        <v>426</v>
      </c>
      <c r="AJ38">
        <v>0</v>
      </c>
      <c r="AK38" t="s">
        <v>543</v>
      </c>
      <c r="AL38" t="s">
        <v>663</v>
      </c>
      <c r="AM38" t="s">
        <v>438</v>
      </c>
      <c r="AN38" t="s">
        <v>439</v>
      </c>
      <c r="AO38" t="s">
        <v>426</v>
      </c>
      <c r="AP38">
        <v>169</v>
      </c>
      <c r="AQ38">
        <v>21790000</v>
      </c>
      <c r="AR38">
        <v>-2614800</v>
      </c>
      <c r="AS38">
        <v>0</v>
      </c>
      <c r="AT38">
        <v>19175200</v>
      </c>
      <c r="AU38">
        <v>18521500</v>
      </c>
      <c r="AV38">
        <v>653700</v>
      </c>
      <c r="AW38" t="s">
        <v>1292</v>
      </c>
      <c r="AX38">
        <v>0</v>
      </c>
      <c r="AY38">
        <v>166046</v>
      </c>
      <c r="AZ38">
        <v>166046</v>
      </c>
      <c r="BA38">
        <v>0</v>
      </c>
      <c r="BB38" t="s">
        <v>441</v>
      </c>
      <c r="BC38">
        <v>0</v>
      </c>
      <c r="BD38">
        <v>0</v>
      </c>
      <c r="BE38">
        <v>0</v>
      </c>
      <c r="BF38">
        <v>0</v>
      </c>
      <c r="BG38" t="s">
        <v>441</v>
      </c>
      <c r="BH38">
        <v>0</v>
      </c>
      <c r="BI38">
        <v>0</v>
      </c>
      <c r="BJ38">
        <v>0</v>
      </c>
      <c r="BK38">
        <v>0</v>
      </c>
      <c r="BL38" t="s">
        <v>441</v>
      </c>
      <c r="BM38">
        <v>19175200</v>
      </c>
      <c r="BN38">
        <v>19341246</v>
      </c>
      <c r="BO38">
        <v>18922546</v>
      </c>
      <c r="BP38">
        <v>418700</v>
      </c>
      <c r="BQ38" t="s">
        <v>1230</v>
      </c>
      <c r="BR38">
        <v>418700</v>
      </c>
      <c r="BS38" t="s">
        <v>1230</v>
      </c>
      <c r="BT38">
        <v>0</v>
      </c>
      <c r="BU38">
        <v>0</v>
      </c>
      <c r="BV38">
        <v>22984534</v>
      </c>
      <c r="BW38">
        <v>0</v>
      </c>
      <c r="BX38">
        <v>166046</v>
      </c>
      <c r="BY38">
        <v>0</v>
      </c>
      <c r="BZ38">
        <v>22984534</v>
      </c>
      <c r="CA38">
        <v>19341246</v>
      </c>
      <c r="CB38">
        <v>418700</v>
      </c>
      <c r="CC38" t="s">
        <v>1230</v>
      </c>
      <c r="CD38" t="s">
        <v>426</v>
      </c>
      <c r="CE38">
        <v>0</v>
      </c>
      <c r="CF38" t="s">
        <v>426</v>
      </c>
      <c r="CG38">
        <v>0</v>
      </c>
      <c r="CH38">
        <v>1815107</v>
      </c>
      <c r="CI38">
        <v>235000</v>
      </c>
      <c r="CJ38" t="s">
        <v>426</v>
      </c>
    </row>
    <row r="39" spans="1:88">
      <c r="A39" t="s">
        <v>32</v>
      </c>
      <c r="B39" t="s">
        <v>14</v>
      </c>
      <c r="C39" t="s">
        <v>788</v>
      </c>
      <c r="D39">
        <v>5810</v>
      </c>
      <c r="E39" t="s">
        <v>40</v>
      </c>
      <c r="F39">
        <v>76009782</v>
      </c>
      <c r="G39" t="s">
        <v>760</v>
      </c>
      <c r="H39" t="s">
        <v>789</v>
      </c>
      <c r="I39" t="s">
        <v>790</v>
      </c>
      <c r="J39" t="s">
        <v>791</v>
      </c>
      <c r="K39" t="s">
        <v>426</v>
      </c>
      <c r="L39" t="s">
        <v>792</v>
      </c>
      <c r="M39" t="s">
        <v>793</v>
      </c>
      <c r="N39" t="s">
        <v>794</v>
      </c>
      <c r="O39" t="s">
        <v>426</v>
      </c>
      <c r="P39" t="s">
        <v>490</v>
      </c>
      <c r="Q39" t="s">
        <v>36</v>
      </c>
      <c r="R39" t="s">
        <v>787</v>
      </c>
      <c r="S39" t="s">
        <v>37</v>
      </c>
      <c r="T39" t="s">
        <v>795</v>
      </c>
      <c r="U39" t="s">
        <v>39</v>
      </c>
      <c r="V39" t="s">
        <v>41</v>
      </c>
      <c r="W39" t="s">
        <v>42</v>
      </c>
      <c r="X39" t="s">
        <v>42</v>
      </c>
      <c r="Y39" t="s">
        <v>42</v>
      </c>
      <c r="Z39" t="s">
        <v>433</v>
      </c>
      <c r="AA39">
        <v>2025</v>
      </c>
      <c r="AB39" t="s">
        <v>434</v>
      </c>
      <c r="AC39">
        <v>19896</v>
      </c>
      <c r="AD39" t="s">
        <v>562</v>
      </c>
      <c r="AE39" t="s">
        <v>426</v>
      </c>
      <c r="AF39" t="s">
        <v>796</v>
      </c>
      <c r="AG39">
        <v>18978600</v>
      </c>
      <c r="AH39" t="s">
        <v>564</v>
      </c>
      <c r="AI39" t="s">
        <v>426</v>
      </c>
      <c r="AJ39">
        <v>0</v>
      </c>
      <c r="AK39" t="s">
        <v>426</v>
      </c>
      <c r="AL39" t="s">
        <v>564</v>
      </c>
      <c r="AM39" t="s">
        <v>454</v>
      </c>
      <c r="AN39" t="s">
        <v>439</v>
      </c>
      <c r="AO39" t="s">
        <v>426</v>
      </c>
      <c r="AP39">
        <v>52</v>
      </c>
      <c r="AQ39">
        <v>20190000</v>
      </c>
      <c r="AR39">
        <v>-2019034</v>
      </c>
      <c r="AS39">
        <v>0</v>
      </c>
      <c r="AT39">
        <v>18170966</v>
      </c>
      <c r="AU39">
        <v>17464350</v>
      </c>
      <c r="AV39">
        <v>706616</v>
      </c>
      <c r="AW39" t="s">
        <v>797</v>
      </c>
      <c r="AX39">
        <v>0</v>
      </c>
      <c r="AY39">
        <v>0</v>
      </c>
      <c r="AZ39">
        <v>0</v>
      </c>
      <c r="BA39">
        <v>0</v>
      </c>
      <c r="BB39" t="s">
        <v>441</v>
      </c>
      <c r="BC39">
        <v>0</v>
      </c>
      <c r="BD39">
        <v>0</v>
      </c>
      <c r="BE39">
        <v>0</v>
      </c>
      <c r="BF39">
        <v>0</v>
      </c>
      <c r="BG39" t="s">
        <v>441</v>
      </c>
      <c r="BH39">
        <v>0</v>
      </c>
      <c r="BI39">
        <v>0</v>
      </c>
      <c r="BJ39">
        <v>0</v>
      </c>
      <c r="BK39">
        <v>0</v>
      </c>
      <c r="BL39" t="s">
        <v>441</v>
      </c>
      <c r="BM39">
        <v>18170966</v>
      </c>
      <c r="BN39">
        <v>18170966</v>
      </c>
      <c r="BO39">
        <v>17699350</v>
      </c>
      <c r="BP39">
        <v>471616</v>
      </c>
      <c r="BQ39" t="s">
        <v>798</v>
      </c>
      <c r="BR39">
        <v>471616</v>
      </c>
      <c r="BS39" t="s">
        <v>798</v>
      </c>
      <c r="BT39">
        <v>0</v>
      </c>
      <c r="BU39">
        <v>0</v>
      </c>
      <c r="BV39">
        <v>21623450</v>
      </c>
      <c r="BW39">
        <v>0</v>
      </c>
      <c r="BX39">
        <v>0</v>
      </c>
      <c r="BY39">
        <v>0</v>
      </c>
      <c r="BZ39">
        <v>21623450</v>
      </c>
      <c r="CA39">
        <v>18170966</v>
      </c>
      <c r="CB39">
        <v>471616</v>
      </c>
      <c r="CC39" t="s">
        <v>798</v>
      </c>
      <c r="CD39" t="s">
        <v>426</v>
      </c>
      <c r="CE39">
        <v>0</v>
      </c>
      <c r="CF39" t="s">
        <v>426</v>
      </c>
      <c r="CG39">
        <v>0</v>
      </c>
      <c r="CH39">
        <v>1801958</v>
      </c>
      <c r="CI39">
        <v>235000</v>
      </c>
      <c r="CJ39" t="s">
        <v>426</v>
      </c>
    </row>
    <row r="40" spans="1:88">
      <c r="A40" t="s">
        <v>32</v>
      </c>
      <c r="B40" t="s">
        <v>33</v>
      </c>
      <c r="C40" t="s">
        <v>799</v>
      </c>
      <c r="D40">
        <v>5885</v>
      </c>
      <c r="E40" t="s">
        <v>181</v>
      </c>
      <c r="F40">
        <v>13161261</v>
      </c>
      <c r="G40" t="s">
        <v>423</v>
      </c>
      <c r="H40" t="s">
        <v>800</v>
      </c>
      <c r="I40" t="s">
        <v>426</v>
      </c>
      <c r="J40" t="s">
        <v>801</v>
      </c>
      <c r="K40" t="s">
        <v>426</v>
      </c>
      <c r="L40" t="s">
        <v>802</v>
      </c>
      <c r="M40" t="s">
        <v>803</v>
      </c>
      <c r="N40" t="s">
        <v>804</v>
      </c>
      <c r="O40" t="s">
        <v>426</v>
      </c>
      <c r="P40" t="s">
        <v>430</v>
      </c>
      <c r="Q40" t="s">
        <v>34</v>
      </c>
      <c r="R40" t="s">
        <v>805</v>
      </c>
      <c r="S40" t="s">
        <v>47</v>
      </c>
      <c r="T40" t="s">
        <v>806</v>
      </c>
      <c r="U40" t="s">
        <v>35</v>
      </c>
      <c r="V40" t="s">
        <v>182</v>
      </c>
      <c r="W40" t="s">
        <v>183</v>
      </c>
      <c r="X40" t="s">
        <v>183</v>
      </c>
      <c r="Y40" t="s">
        <v>183</v>
      </c>
      <c r="Z40" t="s">
        <v>433</v>
      </c>
      <c r="AA40">
        <v>2024</v>
      </c>
      <c r="AB40" t="s">
        <v>584</v>
      </c>
      <c r="AC40">
        <v>19886</v>
      </c>
      <c r="AD40" t="s">
        <v>671</v>
      </c>
      <c r="AE40" t="s">
        <v>426</v>
      </c>
      <c r="AF40" t="s">
        <v>807</v>
      </c>
      <c r="AG40">
        <v>12748571</v>
      </c>
      <c r="AH40" t="s">
        <v>808</v>
      </c>
      <c r="AI40" t="s">
        <v>426</v>
      </c>
      <c r="AJ40">
        <v>0</v>
      </c>
      <c r="AK40" t="s">
        <v>543</v>
      </c>
      <c r="AL40" t="s">
        <v>808</v>
      </c>
      <c r="AM40" t="s">
        <v>481</v>
      </c>
      <c r="AN40" t="s">
        <v>439</v>
      </c>
      <c r="AO40" t="s">
        <v>809</v>
      </c>
      <c r="AP40">
        <v>506</v>
      </c>
      <c r="AQ40">
        <v>14697479</v>
      </c>
      <c r="AR40">
        <v>-2521008</v>
      </c>
      <c r="AS40">
        <v>-1680672</v>
      </c>
      <c r="AT40">
        <v>10495798</v>
      </c>
      <c r="AU40">
        <v>10017479</v>
      </c>
      <c r="AV40">
        <v>478319</v>
      </c>
      <c r="AW40" t="s">
        <v>1293</v>
      </c>
      <c r="AX40">
        <v>0</v>
      </c>
      <c r="AY40">
        <v>699835</v>
      </c>
      <c r="AZ40">
        <v>699835</v>
      </c>
      <c r="BA40">
        <v>0</v>
      </c>
      <c r="BB40" t="s">
        <v>441</v>
      </c>
      <c r="BC40">
        <v>0</v>
      </c>
      <c r="BD40">
        <v>0</v>
      </c>
      <c r="BE40">
        <v>0</v>
      </c>
      <c r="BF40">
        <v>0</v>
      </c>
      <c r="BG40" t="s">
        <v>441</v>
      </c>
      <c r="BH40">
        <v>0</v>
      </c>
      <c r="BI40">
        <v>0</v>
      </c>
      <c r="BJ40">
        <v>0</v>
      </c>
      <c r="BK40">
        <v>0</v>
      </c>
      <c r="BL40" t="s">
        <v>441</v>
      </c>
      <c r="BM40">
        <v>12176471</v>
      </c>
      <c r="BN40">
        <v>11195633</v>
      </c>
      <c r="BO40">
        <v>10892314</v>
      </c>
      <c r="BP40">
        <v>303319</v>
      </c>
      <c r="BQ40" t="s">
        <v>1294</v>
      </c>
      <c r="BR40">
        <v>303319</v>
      </c>
      <c r="BS40" t="s">
        <v>1294</v>
      </c>
      <c r="BT40">
        <v>0</v>
      </c>
      <c r="BU40">
        <v>3500000</v>
      </c>
      <c r="BV40">
        <v>9738652</v>
      </c>
      <c r="BW40">
        <v>-48817</v>
      </c>
      <c r="BX40">
        <v>699835</v>
      </c>
      <c r="BY40">
        <v>0</v>
      </c>
      <c r="BZ40">
        <v>13189835</v>
      </c>
      <c r="CA40">
        <v>11195633</v>
      </c>
      <c r="CB40">
        <v>303319</v>
      </c>
      <c r="CC40" t="s">
        <v>1294</v>
      </c>
      <c r="CD40" t="s">
        <v>426</v>
      </c>
      <c r="CE40">
        <v>0</v>
      </c>
      <c r="CF40" t="s">
        <v>426</v>
      </c>
      <c r="CG40">
        <v>0</v>
      </c>
      <c r="CH40">
        <v>3250000</v>
      </c>
      <c r="CI40">
        <v>175000</v>
      </c>
      <c r="CJ40" t="s">
        <v>426</v>
      </c>
    </row>
    <row r="41" spans="1:88">
      <c r="A41" t="s">
        <v>32</v>
      </c>
      <c r="B41" t="s">
        <v>55</v>
      </c>
      <c r="C41" t="s">
        <v>812</v>
      </c>
      <c r="D41">
        <v>5897</v>
      </c>
      <c r="E41" t="s">
        <v>184</v>
      </c>
      <c r="F41">
        <v>76235534</v>
      </c>
      <c r="G41" t="s">
        <v>676</v>
      </c>
      <c r="H41" t="s">
        <v>813</v>
      </c>
      <c r="I41" t="s">
        <v>814</v>
      </c>
      <c r="J41" t="s">
        <v>815</v>
      </c>
      <c r="K41" t="s">
        <v>426</v>
      </c>
      <c r="L41" t="s">
        <v>816</v>
      </c>
      <c r="M41" t="s">
        <v>426</v>
      </c>
      <c r="N41" t="s">
        <v>817</v>
      </c>
      <c r="O41" t="s">
        <v>426</v>
      </c>
      <c r="P41" t="s">
        <v>490</v>
      </c>
      <c r="Q41" t="s">
        <v>36</v>
      </c>
      <c r="R41" t="s">
        <v>818</v>
      </c>
      <c r="S41" t="s">
        <v>185</v>
      </c>
      <c r="T41" t="s">
        <v>185</v>
      </c>
      <c r="U41" t="s">
        <v>39</v>
      </c>
      <c r="V41" t="s">
        <v>186</v>
      </c>
      <c r="W41" t="s">
        <v>187</v>
      </c>
      <c r="X41" t="s">
        <v>187</v>
      </c>
      <c r="Y41" t="s">
        <v>187</v>
      </c>
      <c r="Z41" t="s">
        <v>433</v>
      </c>
      <c r="AA41">
        <v>2023</v>
      </c>
      <c r="AB41" t="s">
        <v>584</v>
      </c>
      <c r="AC41">
        <v>19844</v>
      </c>
      <c r="AD41" t="s">
        <v>478</v>
      </c>
      <c r="AE41" t="s">
        <v>426</v>
      </c>
      <c r="AF41" t="s">
        <v>819</v>
      </c>
      <c r="AG41">
        <v>15190500</v>
      </c>
      <c r="AH41" t="s">
        <v>478</v>
      </c>
      <c r="AI41" t="s">
        <v>426</v>
      </c>
      <c r="AJ41">
        <v>0</v>
      </c>
      <c r="AK41" t="s">
        <v>565</v>
      </c>
      <c r="AL41" t="s">
        <v>478</v>
      </c>
      <c r="AM41" t="s">
        <v>438</v>
      </c>
      <c r="AN41" t="s">
        <v>439</v>
      </c>
      <c r="AO41" t="s">
        <v>426</v>
      </c>
      <c r="AP41">
        <v>15</v>
      </c>
      <c r="AQ41">
        <v>20990000</v>
      </c>
      <c r="AR41">
        <v>0</v>
      </c>
      <c r="AS41">
        <v>-4443782</v>
      </c>
      <c r="AT41">
        <v>16546218</v>
      </c>
      <c r="AU41">
        <v>15190500</v>
      </c>
      <c r="AV41">
        <v>1355718</v>
      </c>
      <c r="AW41" t="s">
        <v>820</v>
      </c>
      <c r="AX41">
        <v>0</v>
      </c>
      <c r="AY41">
        <v>573980</v>
      </c>
      <c r="AZ41">
        <v>573980</v>
      </c>
      <c r="BA41">
        <v>0</v>
      </c>
      <c r="BB41" t="s">
        <v>441</v>
      </c>
      <c r="BC41">
        <v>0</v>
      </c>
      <c r="BD41">
        <v>0</v>
      </c>
      <c r="BE41">
        <v>0</v>
      </c>
      <c r="BF41">
        <v>0</v>
      </c>
      <c r="BG41" t="s">
        <v>441</v>
      </c>
      <c r="BH41">
        <v>0</v>
      </c>
      <c r="BI41">
        <v>0</v>
      </c>
      <c r="BJ41">
        <v>0</v>
      </c>
      <c r="BK41">
        <v>0</v>
      </c>
      <c r="BL41" t="s">
        <v>441</v>
      </c>
      <c r="BM41">
        <v>20990000</v>
      </c>
      <c r="BN41">
        <v>17120198</v>
      </c>
      <c r="BO41">
        <v>15999480</v>
      </c>
      <c r="BP41">
        <v>1120718</v>
      </c>
      <c r="BQ41" t="s">
        <v>1295</v>
      </c>
      <c r="BR41">
        <v>1120718</v>
      </c>
      <c r="BS41" t="s">
        <v>1295</v>
      </c>
      <c r="BT41">
        <v>0</v>
      </c>
      <c r="BU41">
        <v>0</v>
      </c>
      <c r="BV41">
        <v>20263980</v>
      </c>
      <c r="BW41">
        <v>0</v>
      </c>
      <c r="BX41">
        <v>573980</v>
      </c>
      <c r="BY41">
        <v>0</v>
      </c>
      <c r="BZ41">
        <v>20263979</v>
      </c>
      <c r="CA41">
        <v>17120198</v>
      </c>
      <c r="CB41">
        <v>1120718</v>
      </c>
      <c r="CC41" t="s">
        <v>1295</v>
      </c>
      <c r="CD41" t="s">
        <v>426</v>
      </c>
      <c r="CE41">
        <v>0</v>
      </c>
      <c r="CF41" t="s">
        <v>426</v>
      </c>
      <c r="CG41">
        <v>0</v>
      </c>
      <c r="CH41">
        <v>0</v>
      </c>
      <c r="CI41">
        <v>235000</v>
      </c>
      <c r="CJ41" t="s">
        <v>426</v>
      </c>
    </row>
    <row r="42" spans="1:88">
      <c r="A42" t="s">
        <v>32</v>
      </c>
      <c r="B42" t="s">
        <v>43</v>
      </c>
      <c r="C42" t="s">
        <v>822</v>
      </c>
      <c r="D42">
        <v>5901</v>
      </c>
      <c r="E42" t="s">
        <v>188</v>
      </c>
      <c r="F42">
        <v>77722252</v>
      </c>
      <c r="G42" t="s">
        <v>444</v>
      </c>
      <c r="H42" t="s">
        <v>823</v>
      </c>
      <c r="I42" t="s">
        <v>426</v>
      </c>
      <c r="J42" t="s">
        <v>824</v>
      </c>
      <c r="K42" t="s">
        <v>426</v>
      </c>
      <c r="L42" t="s">
        <v>488</v>
      </c>
      <c r="M42" t="s">
        <v>825</v>
      </c>
      <c r="N42" t="s">
        <v>826</v>
      </c>
      <c r="O42" t="s">
        <v>426</v>
      </c>
      <c r="P42" t="s">
        <v>490</v>
      </c>
      <c r="Q42" t="s">
        <v>36</v>
      </c>
      <c r="R42" t="s">
        <v>787</v>
      </c>
      <c r="S42" t="s">
        <v>45</v>
      </c>
      <c r="T42" t="s">
        <v>827</v>
      </c>
      <c r="U42" t="s">
        <v>38</v>
      </c>
      <c r="V42" t="s">
        <v>189</v>
      </c>
      <c r="W42" t="s">
        <v>190</v>
      </c>
      <c r="X42" t="s">
        <v>190</v>
      </c>
      <c r="Y42" t="s">
        <v>190</v>
      </c>
      <c r="Z42" t="s">
        <v>433</v>
      </c>
      <c r="AA42">
        <v>2025</v>
      </c>
      <c r="AB42" t="s">
        <v>584</v>
      </c>
      <c r="AC42">
        <v>19891</v>
      </c>
      <c r="AD42" t="s">
        <v>828</v>
      </c>
      <c r="AE42" t="s">
        <v>426</v>
      </c>
      <c r="AF42" t="s">
        <v>829</v>
      </c>
      <c r="AG42">
        <v>19862800</v>
      </c>
      <c r="AH42" t="s">
        <v>830</v>
      </c>
      <c r="AI42" t="s">
        <v>426</v>
      </c>
      <c r="AJ42">
        <v>0</v>
      </c>
      <c r="AK42" t="s">
        <v>543</v>
      </c>
      <c r="AL42" t="s">
        <v>830</v>
      </c>
      <c r="AM42" t="s">
        <v>481</v>
      </c>
      <c r="AN42" t="s">
        <v>439</v>
      </c>
      <c r="AO42" t="s">
        <v>426</v>
      </c>
      <c r="AP42">
        <v>16</v>
      </c>
      <c r="AQ42">
        <v>21290000</v>
      </c>
      <c r="AR42">
        <v>-500000</v>
      </c>
      <c r="AS42">
        <v>-863600</v>
      </c>
      <c r="AT42">
        <v>20226400</v>
      </c>
      <c r="AU42">
        <v>19362800</v>
      </c>
      <c r="AV42">
        <v>863600</v>
      </c>
      <c r="AW42" t="s">
        <v>1296</v>
      </c>
      <c r="AX42">
        <v>0</v>
      </c>
      <c r="AY42">
        <v>633536</v>
      </c>
      <c r="AZ42">
        <v>633536</v>
      </c>
      <c r="BA42">
        <v>0</v>
      </c>
      <c r="BB42" t="s">
        <v>441</v>
      </c>
      <c r="BC42">
        <v>0</v>
      </c>
      <c r="BD42">
        <v>0</v>
      </c>
      <c r="BE42">
        <v>0</v>
      </c>
      <c r="BF42">
        <v>0</v>
      </c>
      <c r="BG42" t="s">
        <v>441</v>
      </c>
      <c r="BH42">
        <v>0</v>
      </c>
      <c r="BI42">
        <v>0</v>
      </c>
      <c r="BJ42">
        <v>0</v>
      </c>
      <c r="BK42">
        <v>0</v>
      </c>
      <c r="BL42" t="s">
        <v>441</v>
      </c>
      <c r="BM42">
        <v>20790000</v>
      </c>
      <c r="BN42">
        <v>20859936</v>
      </c>
      <c r="BO42">
        <v>20231336</v>
      </c>
      <c r="BP42">
        <v>628600</v>
      </c>
      <c r="BQ42" t="s">
        <v>1297</v>
      </c>
      <c r="BR42">
        <v>628600</v>
      </c>
      <c r="BS42" t="s">
        <v>1297</v>
      </c>
      <c r="BT42">
        <v>0</v>
      </c>
      <c r="BU42">
        <v>0</v>
      </c>
      <c r="BV42">
        <v>24702952</v>
      </c>
      <c r="BW42">
        <v>0</v>
      </c>
      <c r="BX42">
        <v>633536</v>
      </c>
      <c r="BY42">
        <v>0</v>
      </c>
      <c r="BZ42">
        <v>24702952</v>
      </c>
      <c r="CA42">
        <v>20859936</v>
      </c>
      <c r="CB42">
        <v>628600</v>
      </c>
      <c r="CC42" t="s">
        <v>1297</v>
      </c>
      <c r="CD42" t="s">
        <v>426</v>
      </c>
      <c r="CE42">
        <v>0</v>
      </c>
      <c r="CF42" t="s">
        <v>426</v>
      </c>
      <c r="CG42">
        <v>0</v>
      </c>
      <c r="CH42">
        <v>595000</v>
      </c>
      <c r="CI42">
        <v>235000</v>
      </c>
      <c r="CJ42" t="s">
        <v>426</v>
      </c>
    </row>
    <row r="43" spans="1:88">
      <c r="A43" t="s">
        <v>32</v>
      </c>
      <c r="B43" t="s">
        <v>33</v>
      </c>
      <c r="C43" t="s">
        <v>833</v>
      </c>
      <c r="D43">
        <v>5911</v>
      </c>
      <c r="E43" t="s">
        <v>191</v>
      </c>
      <c r="F43">
        <v>76692680</v>
      </c>
      <c r="G43" t="s">
        <v>611</v>
      </c>
      <c r="H43" t="s">
        <v>834</v>
      </c>
      <c r="I43" t="s">
        <v>426</v>
      </c>
      <c r="J43" t="s">
        <v>835</v>
      </c>
      <c r="K43" t="s">
        <v>426</v>
      </c>
      <c r="L43" t="s">
        <v>816</v>
      </c>
      <c r="M43" t="s">
        <v>836</v>
      </c>
      <c r="N43" t="s">
        <v>837</v>
      </c>
      <c r="O43" t="s">
        <v>426</v>
      </c>
      <c r="P43" t="s">
        <v>490</v>
      </c>
      <c r="Q43" t="s">
        <v>36</v>
      </c>
      <c r="R43" t="s">
        <v>787</v>
      </c>
      <c r="S43" t="s">
        <v>192</v>
      </c>
      <c r="T43" t="s">
        <v>192</v>
      </c>
      <c r="U43" t="s">
        <v>51</v>
      </c>
      <c r="V43" t="s">
        <v>193</v>
      </c>
      <c r="W43" t="s">
        <v>194</v>
      </c>
      <c r="X43" t="s">
        <v>194</v>
      </c>
      <c r="Y43" t="s">
        <v>194</v>
      </c>
      <c r="Z43" t="s">
        <v>433</v>
      </c>
      <c r="AA43">
        <v>2025</v>
      </c>
      <c r="AB43" t="s">
        <v>584</v>
      </c>
      <c r="AC43">
        <v>19862</v>
      </c>
      <c r="AD43" t="s">
        <v>493</v>
      </c>
      <c r="AE43" t="s">
        <v>426</v>
      </c>
      <c r="AF43" t="s">
        <v>838</v>
      </c>
      <c r="AG43">
        <v>19586800</v>
      </c>
      <c r="AH43" t="s">
        <v>493</v>
      </c>
      <c r="AI43" t="s">
        <v>426</v>
      </c>
      <c r="AJ43">
        <v>0</v>
      </c>
      <c r="AK43" t="s">
        <v>543</v>
      </c>
      <c r="AL43" t="s">
        <v>493</v>
      </c>
      <c r="AM43" t="s">
        <v>499</v>
      </c>
      <c r="AN43" t="s">
        <v>439</v>
      </c>
      <c r="AO43" t="s">
        <v>426</v>
      </c>
      <c r="AP43">
        <v>109</v>
      </c>
      <c r="AQ43">
        <v>21290000</v>
      </c>
      <c r="AR43">
        <v>-2767700</v>
      </c>
      <c r="AS43">
        <v>-50000</v>
      </c>
      <c r="AT43">
        <v>18472300</v>
      </c>
      <c r="AU43">
        <v>17883600</v>
      </c>
      <c r="AV43">
        <v>588700</v>
      </c>
      <c r="AW43" t="s">
        <v>1298</v>
      </c>
      <c r="AX43">
        <v>0</v>
      </c>
      <c r="AY43">
        <v>658602</v>
      </c>
      <c r="AZ43">
        <v>658602</v>
      </c>
      <c r="BA43">
        <v>0</v>
      </c>
      <c r="BB43" t="s">
        <v>441</v>
      </c>
      <c r="BC43">
        <v>0</v>
      </c>
      <c r="BD43">
        <v>0</v>
      </c>
      <c r="BE43">
        <v>0</v>
      </c>
      <c r="BF43">
        <v>0</v>
      </c>
      <c r="BG43" t="s">
        <v>441</v>
      </c>
      <c r="BH43">
        <v>0</v>
      </c>
      <c r="BI43">
        <v>0</v>
      </c>
      <c r="BJ43">
        <v>0</v>
      </c>
      <c r="BK43">
        <v>0</v>
      </c>
      <c r="BL43" t="s">
        <v>441</v>
      </c>
      <c r="BM43">
        <v>18522300</v>
      </c>
      <c r="BN43">
        <v>19130902</v>
      </c>
      <c r="BO43">
        <v>18777202</v>
      </c>
      <c r="BP43">
        <v>353700</v>
      </c>
      <c r="BQ43" t="s">
        <v>1299</v>
      </c>
      <c r="BR43">
        <v>353700</v>
      </c>
      <c r="BS43" t="s">
        <v>1299</v>
      </c>
      <c r="BT43">
        <v>0</v>
      </c>
      <c r="BU43">
        <v>0</v>
      </c>
      <c r="BV43">
        <v>22640639</v>
      </c>
      <c r="BW43">
        <v>0</v>
      </c>
      <c r="BX43">
        <v>658602</v>
      </c>
      <c r="BY43">
        <v>0</v>
      </c>
      <c r="BZ43">
        <v>22640639</v>
      </c>
      <c r="CA43">
        <v>19130902</v>
      </c>
      <c r="CB43">
        <v>353700</v>
      </c>
      <c r="CC43" t="s">
        <v>1299</v>
      </c>
      <c r="CD43" t="s">
        <v>426</v>
      </c>
      <c r="CE43">
        <v>0</v>
      </c>
      <c r="CF43" t="s">
        <v>426</v>
      </c>
      <c r="CG43">
        <v>0</v>
      </c>
      <c r="CH43">
        <v>2026808</v>
      </c>
      <c r="CI43">
        <v>235000</v>
      </c>
      <c r="CJ43" t="s">
        <v>426</v>
      </c>
    </row>
    <row r="44" spans="1:88">
      <c r="A44" t="s">
        <v>32</v>
      </c>
      <c r="B44" t="s">
        <v>43</v>
      </c>
      <c r="C44" t="s">
        <v>841</v>
      </c>
      <c r="D44">
        <v>5912</v>
      </c>
      <c r="E44" t="s">
        <v>195</v>
      </c>
      <c r="F44">
        <v>77423111</v>
      </c>
      <c r="G44" t="s">
        <v>611</v>
      </c>
      <c r="H44" t="s">
        <v>842</v>
      </c>
      <c r="I44" t="s">
        <v>426</v>
      </c>
      <c r="J44" t="s">
        <v>843</v>
      </c>
      <c r="K44" t="s">
        <v>426</v>
      </c>
      <c r="L44" t="s">
        <v>844</v>
      </c>
      <c r="M44" t="s">
        <v>845</v>
      </c>
      <c r="N44" t="s">
        <v>846</v>
      </c>
      <c r="O44" t="s">
        <v>426</v>
      </c>
      <c r="P44" t="s">
        <v>490</v>
      </c>
      <c r="Q44" t="s">
        <v>36</v>
      </c>
      <c r="R44" t="s">
        <v>787</v>
      </c>
      <c r="S44" t="s">
        <v>196</v>
      </c>
      <c r="T44" t="s">
        <v>847</v>
      </c>
      <c r="U44" t="s">
        <v>38</v>
      </c>
      <c r="V44" t="s">
        <v>197</v>
      </c>
      <c r="W44" t="s">
        <v>198</v>
      </c>
      <c r="X44" t="s">
        <v>198</v>
      </c>
      <c r="Y44" t="s">
        <v>198</v>
      </c>
      <c r="Z44" t="s">
        <v>433</v>
      </c>
      <c r="AA44">
        <v>2024</v>
      </c>
      <c r="AB44" t="s">
        <v>584</v>
      </c>
      <c r="AC44">
        <v>19889</v>
      </c>
      <c r="AD44" t="s">
        <v>690</v>
      </c>
      <c r="AE44" t="s">
        <v>426</v>
      </c>
      <c r="AF44" t="s">
        <v>848</v>
      </c>
      <c r="AG44">
        <v>21298620</v>
      </c>
      <c r="AH44" t="s">
        <v>849</v>
      </c>
      <c r="AI44" t="s">
        <v>426</v>
      </c>
      <c r="AJ44">
        <v>0</v>
      </c>
      <c r="AK44" t="s">
        <v>533</v>
      </c>
      <c r="AL44" t="s">
        <v>849</v>
      </c>
      <c r="AM44" t="s">
        <v>481</v>
      </c>
      <c r="AN44" t="s">
        <v>439</v>
      </c>
      <c r="AO44" t="s">
        <v>850</v>
      </c>
      <c r="AP44">
        <v>6</v>
      </c>
      <c r="AQ44">
        <v>26690000</v>
      </c>
      <c r="AR44">
        <v>-4270400</v>
      </c>
      <c r="AS44">
        <v>0</v>
      </c>
      <c r="AT44">
        <v>22419600</v>
      </c>
      <c r="AU44">
        <v>21298620</v>
      </c>
      <c r="AV44">
        <v>1120980</v>
      </c>
      <c r="AW44" t="s">
        <v>851</v>
      </c>
      <c r="AX44">
        <v>0</v>
      </c>
      <c r="AY44">
        <v>721264</v>
      </c>
      <c r="AZ44">
        <v>721264</v>
      </c>
      <c r="BA44">
        <v>0</v>
      </c>
      <c r="BB44" t="s">
        <v>441</v>
      </c>
      <c r="BC44">
        <v>0</v>
      </c>
      <c r="BD44">
        <v>0</v>
      </c>
      <c r="BE44">
        <v>0</v>
      </c>
      <c r="BF44">
        <v>0</v>
      </c>
      <c r="BG44" t="s">
        <v>441</v>
      </c>
      <c r="BH44">
        <v>0</v>
      </c>
      <c r="BI44">
        <v>0</v>
      </c>
      <c r="BJ44">
        <v>0</v>
      </c>
      <c r="BK44">
        <v>0</v>
      </c>
      <c r="BL44" t="s">
        <v>441</v>
      </c>
      <c r="BM44">
        <v>22419600</v>
      </c>
      <c r="BN44">
        <v>23140864</v>
      </c>
      <c r="BO44">
        <v>22254884</v>
      </c>
      <c r="BP44">
        <v>885980</v>
      </c>
      <c r="BQ44" t="s">
        <v>1300</v>
      </c>
      <c r="BR44">
        <v>885980</v>
      </c>
      <c r="BS44" t="s">
        <v>1300</v>
      </c>
      <c r="BT44">
        <v>0</v>
      </c>
      <c r="BU44">
        <v>2000000</v>
      </c>
      <c r="BV44">
        <v>25400588</v>
      </c>
      <c r="BW44">
        <v>0</v>
      </c>
      <c r="BX44">
        <v>721264</v>
      </c>
      <c r="BY44">
        <v>0</v>
      </c>
      <c r="BZ44">
        <v>27400588</v>
      </c>
      <c r="CA44">
        <v>23140864</v>
      </c>
      <c r="CB44">
        <v>885980</v>
      </c>
      <c r="CC44" t="s">
        <v>1300</v>
      </c>
      <c r="CD44" t="s">
        <v>426</v>
      </c>
      <c r="CE44">
        <v>0</v>
      </c>
      <c r="CF44" t="s">
        <v>426</v>
      </c>
      <c r="CG44">
        <v>0</v>
      </c>
      <c r="CH44">
        <v>0</v>
      </c>
      <c r="CI44">
        <v>235000</v>
      </c>
      <c r="CJ44" t="s">
        <v>426</v>
      </c>
    </row>
    <row r="45" spans="1:88">
      <c r="A45" t="s">
        <v>32</v>
      </c>
      <c r="B45" t="s">
        <v>55</v>
      </c>
      <c r="C45" t="s">
        <v>853</v>
      </c>
      <c r="D45">
        <v>5915</v>
      </c>
      <c r="E45" t="s">
        <v>199</v>
      </c>
      <c r="F45">
        <v>16802706</v>
      </c>
      <c r="G45" t="s">
        <v>611</v>
      </c>
      <c r="H45" t="s">
        <v>854</v>
      </c>
      <c r="I45" t="s">
        <v>426</v>
      </c>
      <c r="J45" t="s">
        <v>855</v>
      </c>
      <c r="K45" t="s">
        <v>426</v>
      </c>
      <c r="L45" t="s">
        <v>506</v>
      </c>
      <c r="M45" t="s">
        <v>856</v>
      </c>
      <c r="N45" t="s">
        <v>857</v>
      </c>
      <c r="O45" t="s">
        <v>426</v>
      </c>
      <c r="P45" t="s">
        <v>509</v>
      </c>
      <c r="Q45" t="s">
        <v>46</v>
      </c>
      <c r="R45" t="s">
        <v>858</v>
      </c>
      <c r="S45" t="s">
        <v>200</v>
      </c>
      <c r="T45" t="s">
        <v>859</v>
      </c>
      <c r="U45" t="s">
        <v>51</v>
      </c>
      <c r="V45" t="s">
        <v>201</v>
      </c>
      <c r="W45" t="s">
        <v>202</v>
      </c>
      <c r="X45" t="s">
        <v>202</v>
      </c>
      <c r="Y45" t="s">
        <v>202</v>
      </c>
      <c r="Z45" t="s">
        <v>433</v>
      </c>
      <c r="AA45">
        <v>2025</v>
      </c>
      <c r="AB45" t="s">
        <v>584</v>
      </c>
      <c r="AC45">
        <v>19872</v>
      </c>
      <c r="AD45" t="s">
        <v>860</v>
      </c>
      <c r="AE45" t="s">
        <v>426</v>
      </c>
      <c r="AF45" t="s">
        <v>861</v>
      </c>
      <c r="AG45">
        <v>11588907</v>
      </c>
      <c r="AH45" t="s">
        <v>862</v>
      </c>
      <c r="AI45" t="s">
        <v>426</v>
      </c>
      <c r="AJ45">
        <v>0</v>
      </c>
      <c r="AK45" t="s">
        <v>565</v>
      </c>
      <c r="AL45" t="s">
        <v>862</v>
      </c>
      <c r="AM45" t="s">
        <v>438</v>
      </c>
      <c r="AN45" t="s">
        <v>439</v>
      </c>
      <c r="AO45" t="s">
        <v>426</v>
      </c>
      <c r="AP45">
        <v>0</v>
      </c>
      <c r="AQ45">
        <v>12596639</v>
      </c>
      <c r="AR45">
        <v>-1848739</v>
      </c>
      <c r="AS45">
        <v>-429916</v>
      </c>
      <c r="AT45">
        <v>10317983</v>
      </c>
      <c r="AU45">
        <v>9740168</v>
      </c>
      <c r="AV45">
        <v>577815</v>
      </c>
      <c r="AW45" t="s">
        <v>1301</v>
      </c>
      <c r="AX45">
        <v>0</v>
      </c>
      <c r="AY45">
        <v>669467</v>
      </c>
      <c r="AZ45">
        <v>669467</v>
      </c>
      <c r="BA45">
        <v>0</v>
      </c>
      <c r="BB45" t="s">
        <v>441</v>
      </c>
      <c r="BC45">
        <v>0</v>
      </c>
      <c r="BD45">
        <v>0</v>
      </c>
      <c r="BE45">
        <v>0</v>
      </c>
      <c r="BF45">
        <v>0</v>
      </c>
      <c r="BG45" t="s">
        <v>441</v>
      </c>
      <c r="BH45">
        <v>0</v>
      </c>
      <c r="BI45">
        <v>0</v>
      </c>
      <c r="BJ45">
        <v>0</v>
      </c>
      <c r="BK45">
        <v>0</v>
      </c>
      <c r="BL45" t="s">
        <v>441</v>
      </c>
      <c r="BM45">
        <v>10747900</v>
      </c>
      <c r="BN45">
        <v>10987450</v>
      </c>
      <c r="BO45">
        <v>10499635</v>
      </c>
      <c r="BP45">
        <v>487815</v>
      </c>
      <c r="BQ45" t="s">
        <v>1302</v>
      </c>
      <c r="BR45">
        <v>487815</v>
      </c>
      <c r="BS45" t="s">
        <v>1302</v>
      </c>
      <c r="BT45">
        <v>0</v>
      </c>
      <c r="BU45">
        <v>0</v>
      </c>
      <c r="BV45">
        <v>12947867</v>
      </c>
      <c r="BW45">
        <v>0</v>
      </c>
      <c r="BX45">
        <v>669467</v>
      </c>
      <c r="BY45">
        <v>0</v>
      </c>
      <c r="BZ45">
        <v>12947867</v>
      </c>
      <c r="CA45">
        <v>10987450</v>
      </c>
      <c r="CB45">
        <v>487815</v>
      </c>
      <c r="CC45" t="s">
        <v>1302</v>
      </c>
      <c r="CD45" t="s">
        <v>426</v>
      </c>
      <c r="CE45">
        <v>0</v>
      </c>
      <c r="CF45" t="s">
        <v>426</v>
      </c>
      <c r="CG45">
        <v>0</v>
      </c>
      <c r="CH45">
        <v>2200000</v>
      </c>
      <c r="CI45">
        <v>90000</v>
      </c>
      <c r="CJ45" t="s">
        <v>426</v>
      </c>
    </row>
    <row r="46" spans="1:88">
      <c r="A46" t="s">
        <v>32</v>
      </c>
      <c r="B46" t="s">
        <v>43</v>
      </c>
      <c r="C46" t="s">
        <v>865</v>
      </c>
      <c r="D46">
        <v>5929</v>
      </c>
      <c r="E46" t="s">
        <v>203</v>
      </c>
      <c r="F46">
        <v>7697564</v>
      </c>
      <c r="G46" t="s">
        <v>592</v>
      </c>
      <c r="H46" t="s">
        <v>866</v>
      </c>
      <c r="I46" t="s">
        <v>426</v>
      </c>
      <c r="J46" t="s">
        <v>867</v>
      </c>
      <c r="K46" t="s">
        <v>426</v>
      </c>
      <c r="L46" t="s">
        <v>614</v>
      </c>
      <c r="M46" t="s">
        <v>868</v>
      </c>
      <c r="N46" t="s">
        <v>869</v>
      </c>
      <c r="O46" t="s">
        <v>426</v>
      </c>
      <c r="P46" t="s">
        <v>430</v>
      </c>
      <c r="Q46" t="s">
        <v>34</v>
      </c>
      <c r="R46" t="s">
        <v>805</v>
      </c>
      <c r="S46" t="s">
        <v>204</v>
      </c>
      <c r="T46" t="s">
        <v>870</v>
      </c>
      <c r="U46" t="s">
        <v>39</v>
      </c>
      <c r="V46" t="s">
        <v>205</v>
      </c>
      <c r="W46" t="s">
        <v>206</v>
      </c>
      <c r="X46" t="s">
        <v>206</v>
      </c>
      <c r="Y46" t="s">
        <v>206</v>
      </c>
      <c r="Z46" t="s">
        <v>433</v>
      </c>
      <c r="AA46">
        <v>2024</v>
      </c>
      <c r="AB46" t="s">
        <v>434</v>
      </c>
      <c r="AC46">
        <v>19887</v>
      </c>
      <c r="AD46" t="s">
        <v>690</v>
      </c>
      <c r="AE46" t="s">
        <v>426</v>
      </c>
      <c r="AF46" t="s">
        <v>871</v>
      </c>
      <c r="AG46">
        <v>12362017</v>
      </c>
      <c r="AH46" t="s">
        <v>849</v>
      </c>
      <c r="AI46" t="s">
        <v>426</v>
      </c>
      <c r="AJ46">
        <v>0</v>
      </c>
      <c r="AK46" t="s">
        <v>543</v>
      </c>
      <c r="AL46" t="s">
        <v>849</v>
      </c>
      <c r="AM46" t="s">
        <v>566</v>
      </c>
      <c r="AN46" t="s">
        <v>439</v>
      </c>
      <c r="AO46" t="s">
        <v>426</v>
      </c>
      <c r="AP46">
        <v>202</v>
      </c>
      <c r="AQ46">
        <v>13436975</v>
      </c>
      <c r="AR46">
        <v>-2394958</v>
      </c>
      <c r="AS46">
        <v>-462185</v>
      </c>
      <c r="AT46">
        <v>10579832</v>
      </c>
      <c r="AU46">
        <v>9967059</v>
      </c>
      <c r="AV46">
        <v>612773</v>
      </c>
      <c r="AW46" t="s">
        <v>1303</v>
      </c>
      <c r="AX46">
        <v>-622830</v>
      </c>
      <c r="AY46">
        <v>0</v>
      </c>
      <c r="AZ46">
        <v>622830</v>
      </c>
      <c r="BA46">
        <v>-622830</v>
      </c>
      <c r="BB46" t="s">
        <v>873</v>
      </c>
      <c r="BC46">
        <v>0</v>
      </c>
      <c r="BD46">
        <v>0</v>
      </c>
      <c r="BE46">
        <v>0</v>
      </c>
      <c r="BF46">
        <v>0</v>
      </c>
      <c r="BG46" t="s">
        <v>441</v>
      </c>
      <c r="BH46">
        <v>0</v>
      </c>
      <c r="BI46">
        <v>0</v>
      </c>
      <c r="BJ46">
        <v>0</v>
      </c>
      <c r="BK46">
        <v>0</v>
      </c>
      <c r="BL46" t="s">
        <v>441</v>
      </c>
      <c r="BM46">
        <v>11042017</v>
      </c>
      <c r="BN46">
        <v>10579832</v>
      </c>
      <c r="BO46">
        <v>10764889</v>
      </c>
      <c r="BP46">
        <v>-185057</v>
      </c>
      <c r="BQ46" t="s">
        <v>1304</v>
      </c>
      <c r="BR46">
        <v>-185057</v>
      </c>
      <c r="BS46" t="s">
        <v>1304</v>
      </c>
      <c r="BT46">
        <v>0</v>
      </c>
      <c r="BU46">
        <v>0</v>
      </c>
      <c r="BV46">
        <v>12672230</v>
      </c>
      <c r="BW46">
        <v>-82230</v>
      </c>
      <c r="BX46">
        <v>0</v>
      </c>
      <c r="BY46">
        <v>0</v>
      </c>
      <c r="BZ46">
        <v>12590000</v>
      </c>
      <c r="CA46">
        <v>10579832</v>
      </c>
      <c r="CB46">
        <v>-185057</v>
      </c>
      <c r="CC46" t="s">
        <v>1304</v>
      </c>
      <c r="CD46" t="s">
        <v>426</v>
      </c>
      <c r="CE46">
        <v>0</v>
      </c>
      <c r="CF46" t="s">
        <v>426</v>
      </c>
      <c r="CG46">
        <v>0</v>
      </c>
      <c r="CH46">
        <v>2850000</v>
      </c>
      <c r="CI46">
        <v>175000</v>
      </c>
      <c r="CJ46" t="s">
        <v>426</v>
      </c>
    </row>
    <row r="47" spans="1:88">
      <c r="A47" t="s">
        <v>32</v>
      </c>
      <c r="B47" t="s">
        <v>44</v>
      </c>
      <c r="C47" t="s">
        <v>875</v>
      </c>
      <c r="D47">
        <v>5943</v>
      </c>
      <c r="E47" t="s">
        <v>174</v>
      </c>
      <c r="F47">
        <v>7131041</v>
      </c>
      <c r="G47" t="s">
        <v>537</v>
      </c>
      <c r="H47" t="s">
        <v>876</v>
      </c>
      <c r="I47" t="s">
        <v>877</v>
      </c>
      <c r="J47" t="s">
        <v>878</v>
      </c>
      <c r="K47" t="s">
        <v>426</v>
      </c>
      <c r="L47" t="s">
        <v>488</v>
      </c>
      <c r="M47" t="s">
        <v>879</v>
      </c>
      <c r="N47" t="s">
        <v>880</v>
      </c>
      <c r="O47" t="s">
        <v>426</v>
      </c>
      <c r="P47" t="s">
        <v>430</v>
      </c>
      <c r="Q47" t="s">
        <v>36</v>
      </c>
      <c r="R47" t="s">
        <v>881</v>
      </c>
      <c r="S47" t="s">
        <v>65</v>
      </c>
      <c r="T47" t="s">
        <v>882</v>
      </c>
      <c r="U47" t="s">
        <v>38</v>
      </c>
      <c r="V47" t="s">
        <v>175</v>
      </c>
      <c r="W47" t="s">
        <v>176</v>
      </c>
      <c r="X47" t="s">
        <v>176</v>
      </c>
      <c r="Y47" t="s">
        <v>176</v>
      </c>
      <c r="Z47" t="s">
        <v>433</v>
      </c>
      <c r="AA47">
        <v>2025</v>
      </c>
      <c r="AB47" t="s">
        <v>584</v>
      </c>
      <c r="AC47">
        <v>19907</v>
      </c>
      <c r="AD47" t="s">
        <v>696</v>
      </c>
      <c r="AE47" t="s">
        <v>426</v>
      </c>
      <c r="AF47" t="s">
        <v>883</v>
      </c>
      <c r="AG47">
        <v>17773781</v>
      </c>
      <c r="AH47" t="s">
        <v>884</v>
      </c>
      <c r="AI47" t="s">
        <v>426</v>
      </c>
      <c r="AJ47">
        <v>0</v>
      </c>
      <c r="AK47" t="s">
        <v>437</v>
      </c>
      <c r="AL47" t="s">
        <v>884</v>
      </c>
      <c r="AM47" t="s">
        <v>481</v>
      </c>
      <c r="AN47" t="s">
        <v>439</v>
      </c>
      <c r="AO47" t="s">
        <v>885</v>
      </c>
      <c r="AP47">
        <v>115</v>
      </c>
      <c r="AQ47">
        <v>19319328</v>
      </c>
      <c r="AR47">
        <v>-1680672</v>
      </c>
      <c r="AS47">
        <v>-840336</v>
      </c>
      <c r="AT47">
        <v>16798319</v>
      </c>
      <c r="AU47">
        <v>16261176</v>
      </c>
      <c r="AV47">
        <v>537143</v>
      </c>
      <c r="AW47" t="s">
        <v>1305</v>
      </c>
      <c r="AX47">
        <v>0</v>
      </c>
      <c r="AY47">
        <v>1000000</v>
      </c>
      <c r="AZ47">
        <v>1000000</v>
      </c>
      <c r="BA47">
        <v>0</v>
      </c>
      <c r="BB47" t="s">
        <v>441</v>
      </c>
      <c r="BC47">
        <v>0</v>
      </c>
      <c r="BD47">
        <v>0</v>
      </c>
      <c r="BE47">
        <v>0</v>
      </c>
      <c r="BF47">
        <v>0</v>
      </c>
      <c r="BG47" t="s">
        <v>441</v>
      </c>
      <c r="BH47">
        <v>0</v>
      </c>
      <c r="BI47">
        <v>0</v>
      </c>
      <c r="BJ47">
        <v>0</v>
      </c>
      <c r="BK47">
        <v>0</v>
      </c>
      <c r="BL47" t="s">
        <v>441</v>
      </c>
      <c r="BM47">
        <v>17638656</v>
      </c>
      <c r="BN47">
        <v>17798319</v>
      </c>
      <c r="BO47">
        <v>17496176</v>
      </c>
      <c r="BP47">
        <v>302143</v>
      </c>
      <c r="BQ47" t="s">
        <v>1306</v>
      </c>
      <c r="BR47">
        <v>302143</v>
      </c>
      <c r="BS47" t="s">
        <v>1306</v>
      </c>
      <c r="BT47">
        <v>0</v>
      </c>
      <c r="BU47">
        <v>6300000</v>
      </c>
      <c r="BV47">
        <v>14690000</v>
      </c>
      <c r="BW47">
        <v>0</v>
      </c>
      <c r="BX47">
        <v>1000000</v>
      </c>
      <c r="BY47">
        <v>0</v>
      </c>
      <c r="BZ47">
        <v>20990000</v>
      </c>
      <c r="CA47">
        <v>17798319</v>
      </c>
      <c r="CB47">
        <v>302143</v>
      </c>
      <c r="CC47" t="s">
        <v>1306</v>
      </c>
      <c r="CD47" t="s">
        <v>426</v>
      </c>
      <c r="CE47">
        <v>0</v>
      </c>
      <c r="CF47" t="s">
        <v>426</v>
      </c>
      <c r="CG47">
        <v>0</v>
      </c>
      <c r="CH47">
        <v>1800000</v>
      </c>
      <c r="CI47">
        <v>235000</v>
      </c>
      <c r="CJ47" t="s">
        <v>426</v>
      </c>
    </row>
    <row r="48" spans="1:88">
      <c r="A48" t="s">
        <v>32</v>
      </c>
      <c r="B48" t="s">
        <v>55</v>
      </c>
      <c r="C48" t="s">
        <v>888</v>
      </c>
      <c r="D48">
        <v>5945</v>
      </c>
      <c r="E48" t="s">
        <v>177</v>
      </c>
      <c r="F48">
        <v>17958247</v>
      </c>
      <c r="G48" t="s">
        <v>423</v>
      </c>
      <c r="H48" t="s">
        <v>889</v>
      </c>
      <c r="I48" t="s">
        <v>890</v>
      </c>
      <c r="J48" t="s">
        <v>891</v>
      </c>
      <c r="K48" t="s">
        <v>426</v>
      </c>
      <c r="L48" t="s">
        <v>892</v>
      </c>
      <c r="M48" t="s">
        <v>893</v>
      </c>
      <c r="N48" t="s">
        <v>894</v>
      </c>
      <c r="O48" t="s">
        <v>426</v>
      </c>
      <c r="P48" t="s">
        <v>430</v>
      </c>
      <c r="Q48" t="s">
        <v>34</v>
      </c>
      <c r="R48" t="s">
        <v>895</v>
      </c>
      <c r="S48" t="s">
        <v>49</v>
      </c>
      <c r="T48" t="s">
        <v>896</v>
      </c>
      <c r="U48" t="s">
        <v>178</v>
      </c>
      <c r="V48" t="s">
        <v>179</v>
      </c>
      <c r="W48" t="s">
        <v>180</v>
      </c>
      <c r="X48" t="s">
        <v>180</v>
      </c>
      <c r="Y48" t="s">
        <v>180</v>
      </c>
      <c r="Z48" t="s">
        <v>433</v>
      </c>
      <c r="AA48">
        <v>2025</v>
      </c>
      <c r="AB48" t="s">
        <v>584</v>
      </c>
      <c r="AC48">
        <v>19957</v>
      </c>
      <c r="AD48" t="s">
        <v>633</v>
      </c>
      <c r="AE48" t="s">
        <v>426</v>
      </c>
      <c r="AF48" t="s">
        <v>897</v>
      </c>
      <c r="AG48">
        <v>23185546</v>
      </c>
      <c r="AH48" t="s">
        <v>898</v>
      </c>
      <c r="AI48" t="s">
        <v>426</v>
      </c>
      <c r="AJ48">
        <v>0</v>
      </c>
      <c r="AK48" t="s">
        <v>565</v>
      </c>
      <c r="AL48" t="s">
        <v>898</v>
      </c>
      <c r="AM48" t="s">
        <v>438</v>
      </c>
      <c r="AN48" t="s">
        <v>439</v>
      </c>
      <c r="AO48" t="s">
        <v>899</v>
      </c>
      <c r="AP48">
        <v>158</v>
      </c>
      <c r="AQ48">
        <v>25201681</v>
      </c>
      <c r="AR48">
        <v>-1176471</v>
      </c>
      <c r="AS48">
        <v>-961008</v>
      </c>
      <c r="AT48">
        <v>23064202</v>
      </c>
      <c r="AU48">
        <v>22009075</v>
      </c>
      <c r="AV48">
        <v>1055127</v>
      </c>
      <c r="AW48" t="s">
        <v>1307</v>
      </c>
      <c r="AX48">
        <v>0</v>
      </c>
      <c r="AY48">
        <v>1572888</v>
      </c>
      <c r="AZ48">
        <v>1572888</v>
      </c>
      <c r="BA48">
        <v>0</v>
      </c>
      <c r="BB48" t="s">
        <v>441</v>
      </c>
      <c r="BC48">
        <v>0</v>
      </c>
      <c r="BD48">
        <v>0</v>
      </c>
      <c r="BE48">
        <v>0</v>
      </c>
      <c r="BF48">
        <v>0</v>
      </c>
      <c r="BG48" t="s">
        <v>441</v>
      </c>
      <c r="BH48">
        <v>0</v>
      </c>
      <c r="BI48">
        <v>0</v>
      </c>
      <c r="BJ48">
        <v>0</v>
      </c>
      <c r="BK48">
        <v>0</v>
      </c>
      <c r="BL48" t="s">
        <v>441</v>
      </c>
      <c r="BM48">
        <v>24025210</v>
      </c>
      <c r="BN48">
        <v>24637090</v>
      </c>
      <c r="BO48">
        <v>23756963</v>
      </c>
      <c r="BP48">
        <v>880127</v>
      </c>
      <c r="BQ48" t="s">
        <v>1308</v>
      </c>
      <c r="BR48">
        <v>880127</v>
      </c>
      <c r="BS48" t="s">
        <v>1308</v>
      </c>
      <c r="BT48">
        <v>0</v>
      </c>
      <c r="BU48">
        <v>6700000</v>
      </c>
      <c r="BV48">
        <v>24798063</v>
      </c>
      <c r="BW48">
        <v>-2478775</v>
      </c>
      <c r="BX48">
        <v>1572888</v>
      </c>
      <c r="BY48">
        <v>0</v>
      </c>
      <c r="BZ48">
        <v>29019288</v>
      </c>
      <c r="CA48">
        <v>24637090</v>
      </c>
      <c r="CB48">
        <v>880127</v>
      </c>
      <c r="CC48" t="s">
        <v>1308</v>
      </c>
      <c r="CD48" t="s">
        <v>426</v>
      </c>
      <c r="CE48">
        <v>0</v>
      </c>
      <c r="CF48" t="s">
        <v>426</v>
      </c>
      <c r="CG48">
        <v>0</v>
      </c>
      <c r="CH48">
        <v>1400000</v>
      </c>
      <c r="CI48">
        <v>175000</v>
      </c>
      <c r="CJ48" t="s">
        <v>426</v>
      </c>
    </row>
    <row r="49" spans="1:88">
      <c r="A49" t="s">
        <v>32</v>
      </c>
      <c r="B49" t="s">
        <v>33</v>
      </c>
      <c r="C49" t="s">
        <v>902</v>
      </c>
      <c r="D49">
        <v>5952</v>
      </c>
      <c r="E49" t="s">
        <v>207</v>
      </c>
      <c r="F49">
        <v>76321115</v>
      </c>
      <c r="G49" t="s">
        <v>611</v>
      </c>
      <c r="H49" t="s">
        <v>903</v>
      </c>
      <c r="I49" t="s">
        <v>426</v>
      </c>
      <c r="J49" t="s">
        <v>904</v>
      </c>
      <c r="K49" t="s">
        <v>426</v>
      </c>
      <c r="L49" t="s">
        <v>905</v>
      </c>
      <c r="M49" t="s">
        <v>906</v>
      </c>
      <c r="N49" t="s">
        <v>907</v>
      </c>
      <c r="O49" t="s">
        <v>426</v>
      </c>
      <c r="P49" t="s">
        <v>490</v>
      </c>
      <c r="Q49" t="s">
        <v>36</v>
      </c>
      <c r="R49" t="s">
        <v>787</v>
      </c>
      <c r="S49" t="s">
        <v>52</v>
      </c>
      <c r="T49" t="s">
        <v>52</v>
      </c>
      <c r="U49" t="s">
        <v>51</v>
      </c>
      <c r="V49" t="s">
        <v>208</v>
      </c>
      <c r="W49" t="s">
        <v>209</v>
      </c>
      <c r="X49" t="s">
        <v>209</v>
      </c>
      <c r="Y49" t="s">
        <v>209</v>
      </c>
      <c r="Z49" t="s">
        <v>433</v>
      </c>
      <c r="AA49">
        <v>2025</v>
      </c>
      <c r="AB49" t="s">
        <v>584</v>
      </c>
      <c r="AC49">
        <v>19913</v>
      </c>
      <c r="AD49" t="s">
        <v>585</v>
      </c>
      <c r="AE49" t="s">
        <v>426</v>
      </c>
      <c r="AF49" t="s">
        <v>908</v>
      </c>
      <c r="AG49">
        <v>24554800</v>
      </c>
      <c r="AH49" t="s">
        <v>585</v>
      </c>
      <c r="AI49" t="s">
        <v>426</v>
      </c>
      <c r="AJ49">
        <v>0</v>
      </c>
      <c r="AK49" t="s">
        <v>543</v>
      </c>
      <c r="AL49" t="s">
        <v>585</v>
      </c>
      <c r="AM49" t="s">
        <v>438</v>
      </c>
      <c r="AN49" t="s">
        <v>439</v>
      </c>
      <c r="AO49" t="s">
        <v>426</v>
      </c>
      <c r="AP49">
        <v>0</v>
      </c>
      <c r="AQ49">
        <v>26690000</v>
      </c>
      <c r="AR49">
        <v>-1500000</v>
      </c>
      <c r="AS49">
        <v>-500000</v>
      </c>
      <c r="AT49">
        <v>24690000</v>
      </c>
      <c r="AU49">
        <v>23054800</v>
      </c>
      <c r="AV49">
        <v>1635200</v>
      </c>
      <c r="AW49" t="s">
        <v>1309</v>
      </c>
      <c r="AX49">
        <v>0</v>
      </c>
      <c r="AY49">
        <v>929310</v>
      </c>
      <c r="AZ49">
        <v>929310</v>
      </c>
      <c r="BA49">
        <v>0</v>
      </c>
      <c r="BB49" t="s">
        <v>441</v>
      </c>
      <c r="BC49">
        <v>0</v>
      </c>
      <c r="BD49">
        <v>0</v>
      </c>
      <c r="BE49">
        <v>0</v>
      </c>
      <c r="BF49">
        <v>0</v>
      </c>
      <c r="BG49" t="s">
        <v>441</v>
      </c>
      <c r="BH49">
        <v>0</v>
      </c>
      <c r="BI49">
        <v>0</v>
      </c>
      <c r="BJ49">
        <v>0</v>
      </c>
      <c r="BK49">
        <v>0</v>
      </c>
      <c r="BL49" t="s">
        <v>441</v>
      </c>
      <c r="BM49">
        <v>25190000</v>
      </c>
      <c r="BN49">
        <v>25619310</v>
      </c>
      <c r="BO49">
        <v>24219110</v>
      </c>
      <c r="BP49">
        <v>1400200</v>
      </c>
      <c r="BQ49" t="s">
        <v>1310</v>
      </c>
      <c r="BR49">
        <v>1400200</v>
      </c>
      <c r="BS49" t="s">
        <v>1310</v>
      </c>
      <c r="BT49">
        <v>0</v>
      </c>
      <c r="BU49">
        <v>0</v>
      </c>
      <c r="BV49">
        <v>30310410</v>
      </c>
      <c r="BW49">
        <v>0</v>
      </c>
      <c r="BX49">
        <v>929310</v>
      </c>
      <c r="BY49">
        <v>0</v>
      </c>
      <c r="BZ49">
        <v>30310410</v>
      </c>
      <c r="CA49">
        <v>25619310</v>
      </c>
      <c r="CB49">
        <v>1400200</v>
      </c>
      <c r="CC49" t="s">
        <v>1310</v>
      </c>
      <c r="CD49" t="s">
        <v>426</v>
      </c>
      <c r="CE49">
        <v>0</v>
      </c>
      <c r="CF49" t="s">
        <v>426</v>
      </c>
      <c r="CG49">
        <v>0</v>
      </c>
      <c r="CH49">
        <v>1785000</v>
      </c>
      <c r="CI49">
        <v>235000</v>
      </c>
      <c r="CJ49" t="s">
        <v>426</v>
      </c>
    </row>
    <row r="50" spans="1:88">
      <c r="A50" t="s">
        <v>32</v>
      </c>
      <c r="B50" t="s">
        <v>55</v>
      </c>
      <c r="C50" t="s">
        <v>911</v>
      </c>
      <c r="D50">
        <v>5956</v>
      </c>
      <c r="E50" t="s">
        <v>210</v>
      </c>
      <c r="F50">
        <v>78060017</v>
      </c>
      <c r="G50" t="s">
        <v>760</v>
      </c>
      <c r="H50" t="s">
        <v>912</v>
      </c>
      <c r="I50" t="s">
        <v>426</v>
      </c>
      <c r="J50" t="s">
        <v>913</v>
      </c>
      <c r="K50" t="s">
        <v>426</v>
      </c>
      <c r="L50" t="s">
        <v>905</v>
      </c>
      <c r="M50" t="s">
        <v>426</v>
      </c>
      <c r="N50" t="s">
        <v>914</v>
      </c>
      <c r="O50" t="s">
        <v>426</v>
      </c>
      <c r="P50" t="s">
        <v>490</v>
      </c>
      <c r="Q50" t="s">
        <v>211</v>
      </c>
      <c r="R50" t="s">
        <v>915</v>
      </c>
      <c r="S50" t="s">
        <v>212</v>
      </c>
      <c r="T50" t="s">
        <v>916</v>
      </c>
      <c r="U50" t="s">
        <v>39</v>
      </c>
      <c r="V50" t="s">
        <v>213</v>
      </c>
      <c r="W50" t="s">
        <v>214</v>
      </c>
      <c r="X50" t="s">
        <v>214</v>
      </c>
      <c r="Y50" t="s">
        <v>214</v>
      </c>
      <c r="Z50" t="s">
        <v>433</v>
      </c>
      <c r="AA50">
        <v>2023</v>
      </c>
      <c r="AB50" t="s">
        <v>584</v>
      </c>
      <c r="AC50">
        <v>19950</v>
      </c>
      <c r="AD50" t="s">
        <v>633</v>
      </c>
      <c r="AE50" t="s">
        <v>426</v>
      </c>
      <c r="AF50" t="s">
        <v>917</v>
      </c>
      <c r="AG50">
        <v>9380600</v>
      </c>
      <c r="AH50" t="s">
        <v>633</v>
      </c>
      <c r="AI50" t="s">
        <v>426</v>
      </c>
      <c r="AJ50">
        <v>0</v>
      </c>
      <c r="AK50" t="s">
        <v>565</v>
      </c>
      <c r="AL50" t="s">
        <v>633</v>
      </c>
      <c r="AM50" t="s">
        <v>499</v>
      </c>
      <c r="AN50" t="s">
        <v>439</v>
      </c>
      <c r="AO50" t="s">
        <v>426</v>
      </c>
      <c r="AP50">
        <v>-6</v>
      </c>
      <c r="AQ50">
        <v>10540000</v>
      </c>
      <c r="AR50">
        <v>-2250000</v>
      </c>
      <c r="AS50">
        <v>-735378</v>
      </c>
      <c r="AT50">
        <v>7554622</v>
      </c>
      <c r="AU50">
        <v>7130600</v>
      </c>
      <c r="AV50">
        <v>424022</v>
      </c>
      <c r="AW50" t="s">
        <v>1311</v>
      </c>
      <c r="AX50">
        <v>0</v>
      </c>
      <c r="AY50">
        <v>336980</v>
      </c>
      <c r="AZ50">
        <v>336980</v>
      </c>
      <c r="BA50">
        <v>0</v>
      </c>
      <c r="BB50" t="s">
        <v>441</v>
      </c>
      <c r="BC50">
        <v>0</v>
      </c>
      <c r="BD50">
        <v>0</v>
      </c>
      <c r="BE50">
        <v>0</v>
      </c>
      <c r="BF50">
        <v>0</v>
      </c>
      <c r="BG50" t="s">
        <v>441</v>
      </c>
      <c r="BH50">
        <v>0</v>
      </c>
      <c r="BI50">
        <v>0</v>
      </c>
      <c r="BJ50">
        <v>0</v>
      </c>
      <c r="BK50">
        <v>0</v>
      </c>
      <c r="BL50" t="s">
        <v>441</v>
      </c>
      <c r="BM50">
        <v>8290000</v>
      </c>
      <c r="BN50">
        <v>7891602</v>
      </c>
      <c r="BO50">
        <v>7542580</v>
      </c>
      <c r="BP50">
        <v>349022</v>
      </c>
      <c r="BQ50" t="s">
        <v>1312</v>
      </c>
      <c r="BR50">
        <v>349022</v>
      </c>
      <c r="BS50" t="s">
        <v>1312</v>
      </c>
      <c r="BT50">
        <v>0</v>
      </c>
      <c r="BU50">
        <v>0</v>
      </c>
      <c r="BV50">
        <v>9326980</v>
      </c>
      <c r="BW50">
        <v>0</v>
      </c>
      <c r="BX50">
        <v>336980</v>
      </c>
      <c r="BY50">
        <v>0</v>
      </c>
      <c r="BZ50">
        <v>9326980</v>
      </c>
      <c r="CA50">
        <v>7891602</v>
      </c>
      <c r="CB50">
        <v>349022</v>
      </c>
      <c r="CC50" t="s">
        <v>1312</v>
      </c>
      <c r="CD50" t="s">
        <v>426</v>
      </c>
      <c r="CE50">
        <v>0</v>
      </c>
      <c r="CF50" t="s">
        <v>426</v>
      </c>
      <c r="CG50">
        <v>0</v>
      </c>
      <c r="CH50">
        <v>2677500</v>
      </c>
      <c r="CI50">
        <v>75000</v>
      </c>
      <c r="CJ50" t="s">
        <v>426</v>
      </c>
    </row>
    <row r="51" spans="1:88">
      <c r="A51" t="s">
        <v>32</v>
      </c>
      <c r="B51" t="s">
        <v>55</v>
      </c>
      <c r="C51" t="s">
        <v>920</v>
      </c>
      <c r="D51">
        <v>5970</v>
      </c>
      <c r="E51" t="s">
        <v>215</v>
      </c>
      <c r="F51">
        <v>15959880</v>
      </c>
      <c r="G51" t="s">
        <v>921</v>
      </c>
      <c r="H51" t="s">
        <v>922</v>
      </c>
      <c r="I51" t="s">
        <v>923</v>
      </c>
      <c r="J51" t="s">
        <v>924</v>
      </c>
      <c r="K51" t="s">
        <v>426</v>
      </c>
      <c r="L51" t="s">
        <v>488</v>
      </c>
      <c r="M51" t="s">
        <v>925</v>
      </c>
      <c r="N51" t="s">
        <v>926</v>
      </c>
      <c r="O51" t="s">
        <v>426</v>
      </c>
      <c r="P51" t="s">
        <v>430</v>
      </c>
      <c r="Q51" t="s">
        <v>34</v>
      </c>
      <c r="R51" t="s">
        <v>895</v>
      </c>
      <c r="S51" t="s">
        <v>49</v>
      </c>
      <c r="T51" t="s">
        <v>896</v>
      </c>
      <c r="U51" t="s">
        <v>178</v>
      </c>
      <c r="V51" t="s">
        <v>216</v>
      </c>
      <c r="W51" t="s">
        <v>217</v>
      </c>
      <c r="X51" t="s">
        <v>217</v>
      </c>
      <c r="Y51" t="s">
        <v>217</v>
      </c>
      <c r="Z51" t="s">
        <v>433</v>
      </c>
      <c r="AA51">
        <v>2025</v>
      </c>
      <c r="AB51" t="s">
        <v>584</v>
      </c>
      <c r="AC51">
        <v>19958</v>
      </c>
      <c r="AD51" t="s">
        <v>633</v>
      </c>
      <c r="AE51" t="s">
        <v>426</v>
      </c>
      <c r="AF51" t="s">
        <v>927</v>
      </c>
      <c r="AG51">
        <v>23185546</v>
      </c>
      <c r="AH51" t="s">
        <v>898</v>
      </c>
      <c r="AI51" t="s">
        <v>426</v>
      </c>
      <c r="AJ51">
        <v>0</v>
      </c>
      <c r="AK51" t="s">
        <v>565</v>
      </c>
      <c r="AL51" t="s">
        <v>898</v>
      </c>
      <c r="AM51" t="s">
        <v>438</v>
      </c>
      <c r="AN51" t="s">
        <v>439</v>
      </c>
      <c r="AO51" t="s">
        <v>928</v>
      </c>
      <c r="AP51">
        <v>9</v>
      </c>
      <c r="AQ51">
        <v>25201681</v>
      </c>
      <c r="AR51">
        <v>-2016807</v>
      </c>
      <c r="AS51">
        <v>-927395</v>
      </c>
      <c r="AT51">
        <v>22257479</v>
      </c>
      <c r="AU51">
        <v>21168739</v>
      </c>
      <c r="AV51">
        <v>1088740</v>
      </c>
      <c r="AW51" t="s">
        <v>1313</v>
      </c>
      <c r="AX51">
        <v>0</v>
      </c>
      <c r="AY51">
        <v>1460222</v>
      </c>
      <c r="AZ51">
        <v>1460222</v>
      </c>
      <c r="BA51">
        <v>0</v>
      </c>
      <c r="BB51" t="s">
        <v>441</v>
      </c>
      <c r="BC51">
        <v>0</v>
      </c>
      <c r="BD51">
        <v>0</v>
      </c>
      <c r="BE51">
        <v>0</v>
      </c>
      <c r="BF51">
        <v>0</v>
      </c>
      <c r="BG51" t="s">
        <v>441</v>
      </c>
      <c r="BH51">
        <v>0</v>
      </c>
      <c r="BI51">
        <v>0</v>
      </c>
      <c r="BJ51">
        <v>0</v>
      </c>
      <c r="BK51">
        <v>0</v>
      </c>
      <c r="BL51" t="s">
        <v>441</v>
      </c>
      <c r="BM51">
        <v>23184874</v>
      </c>
      <c r="BN51">
        <v>23717701</v>
      </c>
      <c r="BO51">
        <v>22803961</v>
      </c>
      <c r="BP51">
        <v>913740</v>
      </c>
      <c r="BQ51" t="s">
        <v>1314</v>
      </c>
      <c r="BR51">
        <v>913740</v>
      </c>
      <c r="BS51" t="s">
        <v>1314</v>
      </c>
      <c r="BT51">
        <v>0</v>
      </c>
      <c r="BU51">
        <v>22500000</v>
      </c>
      <c r="BV51">
        <v>13268630</v>
      </c>
      <c r="BW51">
        <v>-7822008</v>
      </c>
      <c r="BX51">
        <v>1460222</v>
      </c>
      <c r="BY51">
        <v>0</v>
      </c>
      <c r="BZ51">
        <v>27946622</v>
      </c>
      <c r="CA51">
        <v>23717701</v>
      </c>
      <c r="CB51">
        <v>913740</v>
      </c>
      <c r="CC51" t="s">
        <v>1314</v>
      </c>
      <c r="CD51" t="s">
        <v>426</v>
      </c>
      <c r="CE51">
        <v>0</v>
      </c>
      <c r="CF51" t="s">
        <v>426</v>
      </c>
      <c r="CG51">
        <v>0</v>
      </c>
      <c r="CH51">
        <v>2400000</v>
      </c>
      <c r="CI51">
        <v>175000</v>
      </c>
      <c r="CJ51" t="s">
        <v>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65CC-2655-41E6-9C2C-28D3F89344D9}">
  <dimension ref="A3:L57"/>
  <sheetViews>
    <sheetView workbookViewId="0">
      <selection activeCell="E12" sqref="E12"/>
    </sheetView>
  </sheetViews>
  <sheetFormatPr baseColWidth="10" defaultRowHeight="15"/>
  <cols>
    <col min="1" max="1" width="15.140625" customWidth="1"/>
    <col min="2" max="2" width="14.7109375" customWidth="1"/>
    <col min="4" max="4" width="13.85546875" bestFit="1" customWidth="1"/>
    <col min="5" max="5" width="12.7109375" bestFit="1" customWidth="1"/>
    <col min="7" max="8" width="13.85546875" bestFit="1" customWidth="1"/>
    <col min="10" max="10" width="10" bestFit="1" customWidth="1"/>
    <col min="12" max="12" width="13.85546875" bestFit="1" customWidth="1"/>
    <col min="257" max="257" width="15.140625" customWidth="1"/>
    <col min="258" max="258" width="14.7109375" customWidth="1"/>
    <col min="260" max="260" width="13.85546875" bestFit="1" customWidth="1"/>
    <col min="261" max="261" width="12.7109375" bestFit="1" customWidth="1"/>
    <col min="263" max="264" width="13.85546875" bestFit="1" customWidth="1"/>
    <col min="266" max="266" width="10" bestFit="1" customWidth="1"/>
    <col min="268" max="268" width="13.85546875" bestFit="1" customWidth="1"/>
    <col min="513" max="513" width="15.140625" customWidth="1"/>
    <col min="514" max="514" width="14.7109375" customWidth="1"/>
    <col min="516" max="516" width="13.85546875" bestFit="1" customWidth="1"/>
    <col min="517" max="517" width="12.7109375" bestFit="1" customWidth="1"/>
    <col min="519" max="520" width="13.85546875" bestFit="1" customWidth="1"/>
    <col min="522" max="522" width="10" bestFit="1" customWidth="1"/>
    <col min="524" max="524" width="13.85546875" bestFit="1" customWidth="1"/>
    <col min="769" max="769" width="15.140625" customWidth="1"/>
    <col min="770" max="770" width="14.7109375" customWidth="1"/>
    <col min="772" max="772" width="13.85546875" bestFit="1" customWidth="1"/>
    <col min="773" max="773" width="12.7109375" bestFit="1" customWidth="1"/>
    <col min="775" max="776" width="13.85546875" bestFit="1" customWidth="1"/>
    <col min="778" max="778" width="10" bestFit="1" customWidth="1"/>
    <col min="780" max="780" width="13.85546875" bestFit="1" customWidth="1"/>
    <col min="1025" max="1025" width="15.140625" customWidth="1"/>
    <col min="1026" max="1026" width="14.7109375" customWidth="1"/>
    <col min="1028" max="1028" width="13.85546875" bestFit="1" customWidth="1"/>
    <col min="1029" max="1029" width="12.7109375" bestFit="1" customWidth="1"/>
    <col min="1031" max="1032" width="13.85546875" bestFit="1" customWidth="1"/>
    <col min="1034" max="1034" width="10" bestFit="1" customWidth="1"/>
    <col min="1036" max="1036" width="13.85546875" bestFit="1" customWidth="1"/>
    <col min="1281" max="1281" width="15.140625" customWidth="1"/>
    <col min="1282" max="1282" width="14.7109375" customWidth="1"/>
    <col min="1284" max="1284" width="13.85546875" bestFit="1" customWidth="1"/>
    <col min="1285" max="1285" width="12.7109375" bestFit="1" customWidth="1"/>
    <col min="1287" max="1288" width="13.85546875" bestFit="1" customWidth="1"/>
    <col min="1290" max="1290" width="10" bestFit="1" customWidth="1"/>
    <col min="1292" max="1292" width="13.85546875" bestFit="1" customWidth="1"/>
    <col min="1537" max="1537" width="15.140625" customWidth="1"/>
    <col min="1538" max="1538" width="14.7109375" customWidth="1"/>
    <col min="1540" max="1540" width="13.85546875" bestFit="1" customWidth="1"/>
    <col min="1541" max="1541" width="12.7109375" bestFit="1" customWidth="1"/>
    <col min="1543" max="1544" width="13.85546875" bestFit="1" customWidth="1"/>
    <col min="1546" max="1546" width="10" bestFit="1" customWidth="1"/>
    <col min="1548" max="1548" width="13.85546875" bestFit="1" customWidth="1"/>
    <col min="1793" max="1793" width="15.140625" customWidth="1"/>
    <col min="1794" max="1794" width="14.7109375" customWidth="1"/>
    <col min="1796" max="1796" width="13.85546875" bestFit="1" customWidth="1"/>
    <col min="1797" max="1797" width="12.7109375" bestFit="1" customWidth="1"/>
    <col min="1799" max="1800" width="13.85546875" bestFit="1" customWidth="1"/>
    <col min="1802" max="1802" width="10" bestFit="1" customWidth="1"/>
    <col min="1804" max="1804" width="13.85546875" bestFit="1" customWidth="1"/>
    <col min="2049" max="2049" width="15.140625" customWidth="1"/>
    <col min="2050" max="2050" width="14.7109375" customWidth="1"/>
    <col min="2052" max="2052" width="13.85546875" bestFit="1" customWidth="1"/>
    <col min="2053" max="2053" width="12.7109375" bestFit="1" customWidth="1"/>
    <col min="2055" max="2056" width="13.85546875" bestFit="1" customWidth="1"/>
    <col min="2058" max="2058" width="10" bestFit="1" customWidth="1"/>
    <col min="2060" max="2060" width="13.85546875" bestFit="1" customWidth="1"/>
    <col min="2305" max="2305" width="15.140625" customWidth="1"/>
    <col min="2306" max="2306" width="14.7109375" customWidth="1"/>
    <col min="2308" max="2308" width="13.85546875" bestFit="1" customWidth="1"/>
    <col min="2309" max="2309" width="12.7109375" bestFit="1" customWidth="1"/>
    <col min="2311" max="2312" width="13.85546875" bestFit="1" customWidth="1"/>
    <col min="2314" max="2314" width="10" bestFit="1" customWidth="1"/>
    <col min="2316" max="2316" width="13.85546875" bestFit="1" customWidth="1"/>
    <col min="2561" max="2561" width="15.140625" customWidth="1"/>
    <col min="2562" max="2562" width="14.7109375" customWidth="1"/>
    <col min="2564" max="2564" width="13.85546875" bestFit="1" customWidth="1"/>
    <col min="2565" max="2565" width="12.7109375" bestFit="1" customWidth="1"/>
    <col min="2567" max="2568" width="13.85546875" bestFit="1" customWidth="1"/>
    <col min="2570" max="2570" width="10" bestFit="1" customWidth="1"/>
    <col min="2572" max="2572" width="13.85546875" bestFit="1" customWidth="1"/>
    <col min="2817" max="2817" width="15.140625" customWidth="1"/>
    <col min="2818" max="2818" width="14.7109375" customWidth="1"/>
    <col min="2820" max="2820" width="13.85546875" bestFit="1" customWidth="1"/>
    <col min="2821" max="2821" width="12.7109375" bestFit="1" customWidth="1"/>
    <col min="2823" max="2824" width="13.85546875" bestFit="1" customWidth="1"/>
    <col min="2826" max="2826" width="10" bestFit="1" customWidth="1"/>
    <col min="2828" max="2828" width="13.85546875" bestFit="1" customWidth="1"/>
    <col min="3073" max="3073" width="15.140625" customWidth="1"/>
    <col min="3074" max="3074" width="14.7109375" customWidth="1"/>
    <col min="3076" max="3076" width="13.85546875" bestFit="1" customWidth="1"/>
    <col min="3077" max="3077" width="12.7109375" bestFit="1" customWidth="1"/>
    <col min="3079" max="3080" width="13.85546875" bestFit="1" customWidth="1"/>
    <col min="3082" max="3082" width="10" bestFit="1" customWidth="1"/>
    <col min="3084" max="3084" width="13.85546875" bestFit="1" customWidth="1"/>
    <col min="3329" max="3329" width="15.140625" customWidth="1"/>
    <col min="3330" max="3330" width="14.7109375" customWidth="1"/>
    <col min="3332" max="3332" width="13.85546875" bestFit="1" customWidth="1"/>
    <col min="3333" max="3333" width="12.7109375" bestFit="1" customWidth="1"/>
    <col min="3335" max="3336" width="13.85546875" bestFit="1" customWidth="1"/>
    <col min="3338" max="3338" width="10" bestFit="1" customWidth="1"/>
    <col min="3340" max="3340" width="13.85546875" bestFit="1" customWidth="1"/>
    <col min="3585" max="3585" width="15.140625" customWidth="1"/>
    <col min="3586" max="3586" width="14.7109375" customWidth="1"/>
    <col min="3588" max="3588" width="13.85546875" bestFit="1" customWidth="1"/>
    <col min="3589" max="3589" width="12.7109375" bestFit="1" customWidth="1"/>
    <col min="3591" max="3592" width="13.85546875" bestFit="1" customWidth="1"/>
    <col min="3594" max="3594" width="10" bestFit="1" customWidth="1"/>
    <col min="3596" max="3596" width="13.85546875" bestFit="1" customWidth="1"/>
    <col min="3841" max="3841" width="15.140625" customWidth="1"/>
    <col min="3842" max="3842" width="14.7109375" customWidth="1"/>
    <col min="3844" max="3844" width="13.85546875" bestFit="1" customWidth="1"/>
    <col min="3845" max="3845" width="12.7109375" bestFit="1" customWidth="1"/>
    <col min="3847" max="3848" width="13.85546875" bestFit="1" customWidth="1"/>
    <col min="3850" max="3850" width="10" bestFit="1" customWidth="1"/>
    <col min="3852" max="3852" width="13.85546875" bestFit="1" customWidth="1"/>
    <col min="4097" max="4097" width="15.140625" customWidth="1"/>
    <col min="4098" max="4098" width="14.7109375" customWidth="1"/>
    <col min="4100" max="4100" width="13.85546875" bestFit="1" customWidth="1"/>
    <col min="4101" max="4101" width="12.7109375" bestFit="1" customWidth="1"/>
    <col min="4103" max="4104" width="13.85546875" bestFit="1" customWidth="1"/>
    <col min="4106" max="4106" width="10" bestFit="1" customWidth="1"/>
    <col min="4108" max="4108" width="13.85546875" bestFit="1" customWidth="1"/>
    <col min="4353" max="4353" width="15.140625" customWidth="1"/>
    <col min="4354" max="4354" width="14.7109375" customWidth="1"/>
    <col min="4356" max="4356" width="13.85546875" bestFit="1" customWidth="1"/>
    <col min="4357" max="4357" width="12.7109375" bestFit="1" customWidth="1"/>
    <col min="4359" max="4360" width="13.85546875" bestFit="1" customWidth="1"/>
    <col min="4362" max="4362" width="10" bestFit="1" customWidth="1"/>
    <col min="4364" max="4364" width="13.85546875" bestFit="1" customWidth="1"/>
    <col min="4609" max="4609" width="15.140625" customWidth="1"/>
    <col min="4610" max="4610" width="14.7109375" customWidth="1"/>
    <col min="4612" max="4612" width="13.85546875" bestFit="1" customWidth="1"/>
    <col min="4613" max="4613" width="12.7109375" bestFit="1" customWidth="1"/>
    <col min="4615" max="4616" width="13.85546875" bestFit="1" customWidth="1"/>
    <col min="4618" max="4618" width="10" bestFit="1" customWidth="1"/>
    <col min="4620" max="4620" width="13.85546875" bestFit="1" customWidth="1"/>
    <col min="4865" max="4865" width="15.140625" customWidth="1"/>
    <col min="4866" max="4866" width="14.7109375" customWidth="1"/>
    <col min="4868" max="4868" width="13.85546875" bestFit="1" customWidth="1"/>
    <col min="4869" max="4869" width="12.7109375" bestFit="1" customWidth="1"/>
    <col min="4871" max="4872" width="13.85546875" bestFit="1" customWidth="1"/>
    <col min="4874" max="4874" width="10" bestFit="1" customWidth="1"/>
    <col min="4876" max="4876" width="13.85546875" bestFit="1" customWidth="1"/>
    <col min="5121" max="5121" width="15.140625" customWidth="1"/>
    <col min="5122" max="5122" width="14.7109375" customWidth="1"/>
    <col min="5124" max="5124" width="13.85546875" bestFit="1" customWidth="1"/>
    <col min="5125" max="5125" width="12.7109375" bestFit="1" customWidth="1"/>
    <col min="5127" max="5128" width="13.85546875" bestFit="1" customWidth="1"/>
    <col min="5130" max="5130" width="10" bestFit="1" customWidth="1"/>
    <col min="5132" max="5132" width="13.85546875" bestFit="1" customWidth="1"/>
    <col min="5377" max="5377" width="15.140625" customWidth="1"/>
    <col min="5378" max="5378" width="14.7109375" customWidth="1"/>
    <col min="5380" max="5380" width="13.85546875" bestFit="1" customWidth="1"/>
    <col min="5381" max="5381" width="12.7109375" bestFit="1" customWidth="1"/>
    <col min="5383" max="5384" width="13.85546875" bestFit="1" customWidth="1"/>
    <col min="5386" max="5386" width="10" bestFit="1" customWidth="1"/>
    <col min="5388" max="5388" width="13.85546875" bestFit="1" customWidth="1"/>
    <col min="5633" max="5633" width="15.140625" customWidth="1"/>
    <col min="5634" max="5634" width="14.7109375" customWidth="1"/>
    <col min="5636" max="5636" width="13.85546875" bestFit="1" customWidth="1"/>
    <col min="5637" max="5637" width="12.7109375" bestFit="1" customWidth="1"/>
    <col min="5639" max="5640" width="13.85546875" bestFit="1" customWidth="1"/>
    <col min="5642" max="5642" width="10" bestFit="1" customWidth="1"/>
    <col min="5644" max="5644" width="13.85546875" bestFit="1" customWidth="1"/>
    <col min="5889" max="5889" width="15.140625" customWidth="1"/>
    <col min="5890" max="5890" width="14.7109375" customWidth="1"/>
    <col min="5892" max="5892" width="13.85546875" bestFit="1" customWidth="1"/>
    <col min="5893" max="5893" width="12.7109375" bestFit="1" customWidth="1"/>
    <col min="5895" max="5896" width="13.85546875" bestFit="1" customWidth="1"/>
    <col min="5898" max="5898" width="10" bestFit="1" customWidth="1"/>
    <col min="5900" max="5900" width="13.85546875" bestFit="1" customWidth="1"/>
    <col min="6145" max="6145" width="15.140625" customWidth="1"/>
    <col min="6146" max="6146" width="14.7109375" customWidth="1"/>
    <col min="6148" max="6148" width="13.85546875" bestFit="1" customWidth="1"/>
    <col min="6149" max="6149" width="12.7109375" bestFit="1" customWidth="1"/>
    <col min="6151" max="6152" width="13.85546875" bestFit="1" customWidth="1"/>
    <col min="6154" max="6154" width="10" bestFit="1" customWidth="1"/>
    <col min="6156" max="6156" width="13.85546875" bestFit="1" customWidth="1"/>
    <col min="6401" max="6401" width="15.140625" customWidth="1"/>
    <col min="6402" max="6402" width="14.7109375" customWidth="1"/>
    <col min="6404" max="6404" width="13.85546875" bestFit="1" customWidth="1"/>
    <col min="6405" max="6405" width="12.7109375" bestFit="1" customWidth="1"/>
    <col min="6407" max="6408" width="13.85546875" bestFit="1" customWidth="1"/>
    <col min="6410" max="6410" width="10" bestFit="1" customWidth="1"/>
    <col min="6412" max="6412" width="13.85546875" bestFit="1" customWidth="1"/>
    <col min="6657" max="6657" width="15.140625" customWidth="1"/>
    <col min="6658" max="6658" width="14.7109375" customWidth="1"/>
    <col min="6660" max="6660" width="13.85546875" bestFit="1" customWidth="1"/>
    <col min="6661" max="6661" width="12.7109375" bestFit="1" customWidth="1"/>
    <col min="6663" max="6664" width="13.85546875" bestFit="1" customWidth="1"/>
    <col min="6666" max="6666" width="10" bestFit="1" customWidth="1"/>
    <col min="6668" max="6668" width="13.85546875" bestFit="1" customWidth="1"/>
    <col min="6913" max="6913" width="15.140625" customWidth="1"/>
    <col min="6914" max="6914" width="14.7109375" customWidth="1"/>
    <col min="6916" max="6916" width="13.85546875" bestFit="1" customWidth="1"/>
    <col min="6917" max="6917" width="12.7109375" bestFit="1" customWidth="1"/>
    <col min="6919" max="6920" width="13.85546875" bestFit="1" customWidth="1"/>
    <col min="6922" max="6922" width="10" bestFit="1" customWidth="1"/>
    <col min="6924" max="6924" width="13.85546875" bestFit="1" customWidth="1"/>
    <col min="7169" max="7169" width="15.140625" customWidth="1"/>
    <col min="7170" max="7170" width="14.7109375" customWidth="1"/>
    <col min="7172" max="7172" width="13.85546875" bestFit="1" customWidth="1"/>
    <col min="7173" max="7173" width="12.7109375" bestFit="1" customWidth="1"/>
    <col min="7175" max="7176" width="13.85546875" bestFit="1" customWidth="1"/>
    <col min="7178" max="7178" width="10" bestFit="1" customWidth="1"/>
    <col min="7180" max="7180" width="13.85546875" bestFit="1" customWidth="1"/>
    <col min="7425" max="7425" width="15.140625" customWidth="1"/>
    <col min="7426" max="7426" width="14.7109375" customWidth="1"/>
    <col min="7428" max="7428" width="13.85546875" bestFit="1" customWidth="1"/>
    <col min="7429" max="7429" width="12.7109375" bestFit="1" customWidth="1"/>
    <col min="7431" max="7432" width="13.85546875" bestFit="1" customWidth="1"/>
    <col min="7434" max="7434" width="10" bestFit="1" customWidth="1"/>
    <col min="7436" max="7436" width="13.85546875" bestFit="1" customWidth="1"/>
    <col min="7681" max="7681" width="15.140625" customWidth="1"/>
    <col min="7682" max="7682" width="14.7109375" customWidth="1"/>
    <col min="7684" max="7684" width="13.85546875" bestFit="1" customWidth="1"/>
    <col min="7685" max="7685" width="12.7109375" bestFit="1" customWidth="1"/>
    <col min="7687" max="7688" width="13.85546875" bestFit="1" customWidth="1"/>
    <col min="7690" max="7690" width="10" bestFit="1" customWidth="1"/>
    <col min="7692" max="7692" width="13.85546875" bestFit="1" customWidth="1"/>
    <col min="7937" max="7937" width="15.140625" customWidth="1"/>
    <col min="7938" max="7938" width="14.7109375" customWidth="1"/>
    <col min="7940" max="7940" width="13.85546875" bestFit="1" customWidth="1"/>
    <col min="7941" max="7941" width="12.7109375" bestFit="1" customWidth="1"/>
    <col min="7943" max="7944" width="13.85546875" bestFit="1" customWidth="1"/>
    <col min="7946" max="7946" width="10" bestFit="1" customWidth="1"/>
    <col min="7948" max="7948" width="13.85546875" bestFit="1" customWidth="1"/>
    <col min="8193" max="8193" width="15.140625" customWidth="1"/>
    <col min="8194" max="8194" width="14.7109375" customWidth="1"/>
    <col min="8196" max="8196" width="13.85546875" bestFit="1" customWidth="1"/>
    <col min="8197" max="8197" width="12.7109375" bestFit="1" customWidth="1"/>
    <col min="8199" max="8200" width="13.85546875" bestFit="1" customWidth="1"/>
    <col min="8202" max="8202" width="10" bestFit="1" customWidth="1"/>
    <col min="8204" max="8204" width="13.85546875" bestFit="1" customWidth="1"/>
    <col min="8449" max="8449" width="15.140625" customWidth="1"/>
    <col min="8450" max="8450" width="14.7109375" customWidth="1"/>
    <col min="8452" max="8452" width="13.85546875" bestFit="1" customWidth="1"/>
    <col min="8453" max="8453" width="12.7109375" bestFit="1" customWidth="1"/>
    <col min="8455" max="8456" width="13.85546875" bestFit="1" customWidth="1"/>
    <col min="8458" max="8458" width="10" bestFit="1" customWidth="1"/>
    <col min="8460" max="8460" width="13.85546875" bestFit="1" customWidth="1"/>
    <col min="8705" max="8705" width="15.140625" customWidth="1"/>
    <col min="8706" max="8706" width="14.7109375" customWidth="1"/>
    <col min="8708" max="8708" width="13.85546875" bestFit="1" customWidth="1"/>
    <col min="8709" max="8709" width="12.7109375" bestFit="1" customWidth="1"/>
    <col min="8711" max="8712" width="13.85546875" bestFit="1" customWidth="1"/>
    <col min="8714" max="8714" width="10" bestFit="1" customWidth="1"/>
    <col min="8716" max="8716" width="13.85546875" bestFit="1" customWidth="1"/>
    <col min="8961" max="8961" width="15.140625" customWidth="1"/>
    <col min="8962" max="8962" width="14.7109375" customWidth="1"/>
    <col min="8964" max="8964" width="13.85546875" bestFit="1" customWidth="1"/>
    <col min="8965" max="8965" width="12.7109375" bestFit="1" customWidth="1"/>
    <col min="8967" max="8968" width="13.85546875" bestFit="1" customWidth="1"/>
    <col min="8970" max="8970" width="10" bestFit="1" customWidth="1"/>
    <col min="8972" max="8972" width="13.85546875" bestFit="1" customWidth="1"/>
    <col min="9217" max="9217" width="15.140625" customWidth="1"/>
    <col min="9218" max="9218" width="14.7109375" customWidth="1"/>
    <col min="9220" max="9220" width="13.85546875" bestFit="1" customWidth="1"/>
    <col min="9221" max="9221" width="12.7109375" bestFit="1" customWidth="1"/>
    <col min="9223" max="9224" width="13.85546875" bestFit="1" customWidth="1"/>
    <col min="9226" max="9226" width="10" bestFit="1" customWidth="1"/>
    <col min="9228" max="9228" width="13.85546875" bestFit="1" customWidth="1"/>
    <col min="9473" max="9473" width="15.140625" customWidth="1"/>
    <col min="9474" max="9474" width="14.7109375" customWidth="1"/>
    <col min="9476" max="9476" width="13.85546875" bestFit="1" customWidth="1"/>
    <col min="9477" max="9477" width="12.7109375" bestFit="1" customWidth="1"/>
    <col min="9479" max="9480" width="13.85546875" bestFit="1" customWidth="1"/>
    <col min="9482" max="9482" width="10" bestFit="1" customWidth="1"/>
    <col min="9484" max="9484" width="13.85546875" bestFit="1" customWidth="1"/>
    <col min="9729" max="9729" width="15.140625" customWidth="1"/>
    <col min="9730" max="9730" width="14.7109375" customWidth="1"/>
    <col min="9732" max="9732" width="13.85546875" bestFit="1" customWidth="1"/>
    <col min="9733" max="9733" width="12.7109375" bestFit="1" customWidth="1"/>
    <col min="9735" max="9736" width="13.85546875" bestFit="1" customWidth="1"/>
    <col min="9738" max="9738" width="10" bestFit="1" customWidth="1"/>
    <col min="9740" max="9740" width="13.85546875" bestFit="1" customWidth="1"/>
    <col min="9985" max="9985" width="15.140625" customWidth="1"/>
    <col min="9986" max="9986" width="14.7109375" customWidth="1"/>
    <col min="9988" max="9988" width="13.85546875" bestFit="1" customWidth="1"/>
    <col min="9989" max="9989" width="12.7109375" bestFit="1" customWidth="1"/>
    <col min="9991" max="9992" width="13.85546875" bestFit="1" customWidth="1"/>
    <col min="9994" max="9994" width="10" bestFit="1" customWidth="1"/>
    <col min="9996" max="9996" width="13.85546875" bestFit="1" customWidth="1"/>
    <col min="10241" max="10241" width="15.140625" customWidth="1"/>
    <col min="10242" max="10242" width="14.7109375" customWidth="1"/>
    <col min="10244" max="10244" width="13.85546875" bestFit="1" customWidth="1"/>
    <col min="10245" max="10245" width="12.7109375" bestFit="1" customWidth="1"/>
    <col min="10247" max="10248" width="13.85546875" bestFit="1" customWidth="1"/>
    <col min="10250" max="10250" width="10" bestFit="1" customWidth="1"/>
    <col min="10252" max="10252" width="13.85546875" bestFit="1" customWidth="1"/>
    <col min="10497" max="10497" width="15.140625" customWidth="1"/>
    <col min="10498" max="10498" width="14.7109375" customWidth="1"/>
    <col min="10500" max="10500" width="13.85546875" bestFit="1" customWidth="1"/>
    <col min="10501" max="10501" width="12.7109375" bestFit="1" customWidth="1"/>
    <col min="10503" max="10504" width="13.85546875" bestFit="1" customWidth="1"/>
    <col min="10506" max="10506" width="10" bestFit="1" customWidth="1"/>
    <col min="10508" max="10508" width="13.85546875" bestFit="1" customWidth="1"/>
    <col min="10753" max="10753" width="15.140625" customWidth="1"/>
    <col min="10754" max="10754" width="14.7109375" customWidth="1"/>
    <col min="10756" max="10756" width="13.85546875" bestFit="1" customWidth="1"/>
    <col min="10757" max="10757" width="12.7109375" bestFit="1" customWidth="1"/>
    <col min="10759" max="10760" width="13.85546875" bestFit="1" customWidth="1"/>
    <col min="10762" max="10762" width="10" bestFit="1" customWidth="1"/>
    <col min="10764" max="10764" width="13.85546875" bestFit="1" customWidth="1"/>
    <col min="11009" max="11009" width="15.140625" customWidth="1"/>
    <col min="11010" max="11010" width="14.7109375" customWidth="1"/>
    <col min="11012" max="11012" width="13.85546875" bestFit="1" customWidth="1"/>
    <col min="11013" max="11013" width="12.7109375" bestFit="1" customWidth="1"/>
    <col min="11015" max="11016" width="13.85546875" bestFit="1" customWidth="1"/>
    <col min="11018" max="11018" width="10" bestFit="1" customWidth="1"/>
    <col min="11020" max="11020" width="13.85546875" bestFit="1" customWidth="1"/>
    <col min="11265" max="11265" width="15.140625" customWidth="1"/>
    <col min="11266" max="11266" width="14.7109375" customWidth="1"/>
    <col min="11268" max="11268" width="13.85546875" bestFit="1" customWidth="1"/>
    <col min="11269" max="11269" width="12.7109375" bestFit="1" customWidth="1"/>
    <col min="11271" max="11272" width="13.85546875" bestFit="1" customWidth="1"/>
    <col min="11274" max="11274" width="10" bestFit="1" customWidth="1"/>
    <col min="11276" max="11276" width="13.85546875" bestFit="1" customWidth="1"/>
    <col min="11521" max="11521" width="15.140625" customWidth="1"/>
    <col min="11522" max="11522" width="14.7109375" customWidth="1"/>
    <col min="11524" max="11524" width="13.85546875" bestFit="1" customWidth="1"/>
    <col min="11525" max="11525" width="12.7109375" bestFit="1" customWidth="1"/>
    <col min="11527" max="11528" width="13.85546875" bestFit="1" customWidth="1"/>
    <col min="11530" max="11530" width="10" bestFit="1" customWidth="1"/>
    <col min="11532" max="11532" width="13.85546875" bestFit="1" customWidth="1"/>
    <col min="11777" max="11777" width="15.140625" customWidth="1"/>
    <col min="11778" max="11778" width="14.7109375" customWidth="1"/>
    <col min="11780" max="11780" width="13.85546875" bestFit="1" customWidth="1"/>
    <col min="11781" max="11781" width="12.7109375" bestFit="1" customWidth="1"/>
    <col min="11783" max="11784" width="13.85546875" bestFit="1" customWidth="1"/>
    <col min="11786" max="11786" width="10" bestFit="1" customWidth="1"/>
    <col min="11788" max="11788" width="13.85546875" bestFit="1" customWidth="1"/>
    <col min="12033" max="12033" width="15.140625" customWidth="1"/>
    <col min="12034" max="12034" width="14.7109375" customWidth="1"/>
    <col min="12036" max="12036" width="13.85546875" bestFit="1" customWidth="1"/>
    <col min="12037" max="12037" width="12.7109375" bestFit="1" customWidth="1"/>
    <col min="12039" max="12040" width="13.85546875" bestFit="1" customWidth="1"/>
    <col min="12042" max="12042" width="10" bestFit="1" customWidth="1"/>
    <col min="12044" max="12044" width="13.85546875" bestFit="1" customWidth="1"/>
    <col min="12289" max="12289" width="15.140625" customWidth="1"/>
    <col min="12290" max="12290" width="14.7109375" customWidth="1"/>
    <col min="12292" max="12292" width="13.85546875" bestFit="1" customWidth="1"/>
    <col min="12293" max="12293" width="12.7109375" bestFit="1" customWidth="1"/>
    <col min="12295" max="12296" width="13.85546875" bestFit="1" customWidth="1"/>
    <col min="12298" max="12298" width="10" bestFit="1" customWidth="1"/>
    <col min="12300" max="12300" width="13.85546875" bestFit="1" customWidth="1"/>
    <col min="12545" max="12545" width="15.140625" customWidth="1"/>
    <col min="12546" max="12546" width="14.7109375" customWidth="1"/>
    <col min="12548" max="12548" width="13.85546875" bestFit="1" customWidth="1"/>
    <col min="12549" max="12549" width="12.7109375" bestFit="1" customWidth="1"/>
    <col min="12551" max="12552" width="13.85546875" bestFit="1" customWidth="1"/>
    <col min="12554" max="12554" width="10" bestFit="1" customWidth="1"/>
    <col min="12556" max="12556" width="13.85546875" bestFit="1" customWidth="1"/>
    <col min="12801" max="12801" width="15.140625" customWidth="1"/>
    <col min="12802" max="12802" width="14.7109375" customWidth="1"/>
    <col min="12804" max="12804" width="13.85546875" bestFit="1" customWidth="1"/>
    <col min="12805" max="12805" width="12.7109375" bestFit="1" customWidth="1"/>
    <col min="12807" max="12808" width="13.85546875" bestFit="1" customWidth="1"/>
    <col min="12810" max="12810" width="10" bestFit="1" customWidth="1"/>
    <col min="12812" max="12812" width="13.85546875" bestFit="1" customWidth="1"/>
    <col min="13057" max="13057" width="15.140625" customWidth="1"/>
    <col min="13058" max="13058" width="14.7109375" customWidth="1"/>
    <col min="13060" max="13060" width="13.85546875" bestFit="1" customWidth="1"/>
    <col min="13061" max="13061" width="12.7109375" bestFit="1" customWidth="1"/>
    <col min="13063" max="13064" width="13.85546875" bestFit="1" customWidth="1"/>
    <col min="13066" max="13066" width="10" bestFit="1" customWidth="1"/>
    <col min="13068" max="13068" width="13.85546875" bestFit="1" customWidth="1"/>
    <col min="13313" max="13313" width="15.140625" customWidth="1"/>
    <col min="13314" max="13314" width="14.7109375" customWidth="1"/>
    <col min="13316" max="13316" width="13.85546875" bestFit="1" customWidth="1"/>
    <col min="13317" max="13317" width="12.7109375" bestFit="1" customWidth="1"/>
    <col min="13319" max="13320" width="13.85546875" bestFit="1" customWidth="1"/>
    <col min="13322" max="13322" width="10" bestFit="1" customWidth="1"/>
    <col min="13324" max="13324" width="13.85546875" bestFit="1" customWidth="1"/>
    <col min="13569" max="13569" width="15.140625" customWidth="1"/>
    <col min="13570" max="13570" width="14.7109375" customWidth="1"/>
    <col min="13572" max="13572" width="13.85546875" bestFit="1" customWidth="1"/>
    <col min="13573" max="13573" width="12.7109375" bestFit="1" customWidth="1"/>
    <col min="13575" max="13576" width="13.85546875" bestFit="1" customWidth="1"/>
    <col min="13578" max="13578" width="10" bestFit="1" customWidth="1"/>
    <col min="13580" max="13580" width="13.85546875" bestFit="1" customWidth="1"/>
    <col min="13825" max="13825" width="15.140625" customWidth="1"/>
    <col min="13826" max="13826" width="14.7109375" customWidth="1"/>
    <col min="13828" max="13828" width="13.85546875" bestFit="1" customWidth="1"/>
    <col min="13829" max="13829" width="12.7109375" bestFit="1" customWidth="1"/>
    <col min="13831" max="13832" width="13.85546875" bestFit="1" customWidth="1"/>
    <col min="13834" max="13834" width="10" bestFit="1" customWidth="1"/>
    <col min="13836" max="13836" width="13.85546875" bestFit="1" customWidth="1"/>
    <col min="14081" max="14081" width="15.140625" customWidth="1"/>
    <col min="14082" max="14082" width="14.7109375" customWidth="1"/>
    <col min="14084" max="14084" width="13.85546875" bestFit="1" customWidth="1"/>
    <col min="14085" max="14085" width="12.7109375" bestFit="1" customWidth="1"/>
    <col min="14087" max="14088" width="13.85546875" bestFit="1" customWidth="1"/>
    <col min="14090" max="14090" width="10" bestFit="1" customWidth="1"/>
    <col min="14092" max="14092" width="13.85546875" bestFit="1" customWidth="1"/>
    <col min="14337" max="14337" width="15.140625" customWidth="1"/>
    <col min="14338" max="14338" width="14.7109375" customWidth="1"/>
    <col min="14340" max="14340" width="13.85546875" bestFit="1" customWidth="1"/>
    <col min="14341" max="14341" width="12.7109375" bestFit="1" customWidth="1"/>
    <col min="14343" max="14344" width="13.85546875" bestFit="1" customWidth="1"/>
    <col min="14346" max="14346" width="10" bestFit="1" customWidth="1"/>
    <col min="14348" max="14348" width="13.85546875" bestFit="1" customWidth="1"/>
    <col min="14593" max="14593" width="15.140625" customWidth="1"/>
    <col min="14594" max="14594" width="14.7109375" customWidth="1"/>
    <col min="14596" max="14596" width="13.85546875" bestFit="1" customWidth="1"/>
    <col min="14597" max="14597" width="12.7109375" bestFit="1" customWidth="1"/>
    <col min="14599" max="14600" width="13.85546875" bestFit="1" customWidth="1"/>
    <col min="14602" max="14602" width="10" bestFit="1" customWidth="1"/>
    <col min="14604" max="14604" width="13.85546875" bestFit="1" customWidth="1"/>
    <col min="14849" max="14849" width="15.140625" customWidth="1"/>
    <col min="14850" max="14850" width="14.7109375" customWidth="1"/>
    <col min="14852" max="14852" width="13.85546875" bestFit="1" customWidth="1"/>
    <col min="14853" max="14853" width="12.7109375" bestFit="1" customWidth="1"/>
    <col min="14855" max="14856" width="13.85546875" bestFit="1" customWidth="1"/>
    <col min="14858" max="14858" width="10" bestFit="1" customWidth="1"/>
    <col min="14860" max="14860" width="13.85546875" bestFit="1" customWidth="1"/>
    <col min="15105" max="15105" width="15.140625" customWidth="1"/>
    <col min="15106" max="15106" width="14.7109375" customWidth="1"/>
    <col min="15108" max="15108" width="13.85546875" bestFit="1" customWidth="1"/>
    <col min="15109" max="15109" width="12.7109375" bestFit="1" customWidth="1"/>
    <col min="15111" max="15112" width="13.85546875" bestFit="1" customWidth="1"/>
    <col min="15114" max="15114" width="10" bestFit="1" customWidth="1"/>
    <col min="15116" max="15116" width="13.85546875" bestFit="1" customWidth="1"/>
    <col min="15361" max="15361" width="15.140625" customWidth="1"/>
    <col min="15362" max="15362" width="14.7109375" customWidth="1"/>
    <col min="15364" max="15364" width="13.85546875" bestFit="1" customWidth="1"/>
    <col min="15365" max="15365" width="12.7109375" bestFit="1" customWidth="1"/>
    <col min="15367" max="15368" width="13.85546875" bestFit="1" customWidth="1"/>
    <col min="15370" max="15370" width="10" bestFit="1" customWidth="1"/>
    <col min="15372" max="15372" width="13.85546875" bestFit="1" customWidth="1"/>
    <col min="15617" max="15617" width="15.140625" customWidth="1"/>
    <col min="15618" max="15618" width="14.7109375" customWidth="1"/>
    <col min="15620" max="15620" width="13.85546875" bestFit="1" customWidth="1"/>
    <col min="15621" max="15621" width="12.7109375" bestFit="1" customWidth="1"/>
    <col min="15623" max="15624" width="13.85546875" bestFit="1" customWidth="1"/>
    <col min="15626" max="15626" width="10" bestFit="1" customWidth="1"/>
    <col min="15628" max="15628" width="13.85546875" bestFit="1" customWidth="1"/>
    <col min="15873" max="15873" width="15.140625" customWidth="1"/>
    <col min="15874" max="15874" width="14.7109375" customWidth="1"/>
    <col min="15876" max="15876" width="13.85546875" bestFit="1" customWidth="1"/>
    <col min="15877" max="15877" width="12.7109375" bestFit="1" customWidth="1"/>
    <col min="15879" max="15880" width="13.85546875" bestFit="1" customWidth="1"/>
    <col min="15882" max="15882" width="10" bestFit="1" customWidth="1"/>
    <col min="15884" max="15884" width="13.85546875" bestFit="1" customWidth="1"/>
    <col min="16129" max="16129" width="15.140625" customWidth="1"/>
    <col min="16130" max="16130" width="14.7109375" customWidth="1"/>
    <col min="16132" max="16132" width="13.85546875" bestFit="1" customWidth="1"/>
    <col min="16133" max="16133" width="12.7109375" bestFit="1" customWidth="1"/>
    <col min="16135" max="16136" width="13.85546875" bestFit="1" customWidth="1"/>
    <col min="16138" max="16138" width="10" bestFit="1" customWidth="1"/>
    <col min="16140" max="16140" width="13.85546875" bestFit="1" customWidth="1"/>
  </cols>
  <sheetData>
    <row r="3" spans="1:12">
      <c r="A3" t="s">
        <v>1183</v>
      </c>
      <c r="B3" t="s">
        <v>1184</v>
      </c>
      <c r="D3" t="s">
        <v>1185</v>
      </c>
      <c r="E3" t="s">
        <v>1184</v>
      </c>
      <c r="G3" t="s">
        <v>1186</v>
      </c>
      <c r="H3" t="s">
        <v>1184</v>
      </c>
      <c r="J3" t="s">
        <v>1185</v>
      </c>
      <c r="L3" t="s">
        <v>1187</v>
      </c>
    </row>
    <row r="4" spans="1:12">
      <c r="A4" t="s">
        <v>41</v>
      </c>
      <c r="B4" s="3">
        <f>VLOOKUP(A4,'VW+ANDES'!D:Y,22,0)</f>
        <v>471616</v>
      </c>
      <c r="E4" s="4"/>
      <c r="G4" t="s">
        <v>86</v>
      </c>
      <c r="H4" s="4">
        <f>VLOOKUP(G4,'VW+ANDES'!D:Y,22,0)</f>
        <v>619586</v>
      </c>
      <c r="J4">
        <f>COUNTA(D4:D13)</f>
        <v>0</v>
      </c>
      <c r="L4" s="5">
        <f>+E16+H57+B52</f>
        <v>33511098.357142858</v>
      </c>
    </row>
    <row r="5" spans="1:12">
      <c r="A5" t="s">
        <v>182</v>
      </c>
      <c r="B5" s="3">
        <f>VLOOKUP(A5,'VW+ANDES'!D:Y,22,0)</f>
        <v>303319.43697478995</v>
      </c>
      <c r="E5" s="4"/>
      <c r="G5" t="s">
        <v>92</v>
      </c>
      <c r="H5" s="4">
        <f>VLOOKUP(G5,'VW+ANDES'!D:Y,22,0)</f>
        <v>429453.42016806721</v>
      </c>
      <c r="J5" t="s">
        <v>1186</v>
      </c>
    </row>
    <row r="6" spans="1:12">
      <c r="A6" t="s">
        <v>186</v>
      </c>
      <c r="B6" s="3">
        <f>VLOOKUP(A6,'VW+ANDES'!D:Y,22,0)</f>
        <v>1120718</v>
      </c>
      <c r="E6" s="4"/>
      <c r="G6" t="s">
        <v>95</v>
      </c>
      <c r="H6" s="4">
        <f>VLOOKUP(G6,'VW+ANDES'!D:Y,22,0)</f>
        <v>725781.42016806721</v>
      </c>
      <c r="J6">
        <f>COUNTA(G4:G54)</f>
        <v>34</v>
      </c>
    </row>
    <row r="7" spans="1:12">
      <c r="A7" t="s">
        <v>189</v>
      </c>
      <c r="B7" s="3">
        <f>VLOOKUP(A7,'VW+ANDES'!D:Y,22,0)</f>
        <v>628600</v>
      </c>
      <c r="E7" s="4"/>
      <c r="G7" t="s">
        <v>98</v>
      </c>
      <c r="H7" s="4">
        <f>VLOOKUP(G7,'VW+ANDES'!D:Y,22,0)</f>
        <v>313982.92016806721</v>
      </c>
      <c r="J7" t="s">
        <v>1183</v>
      </c>
    </row>
    <row r="8" spans="1:12">
      <c r="A8" t="s">
        <v>193</v>
      </c>
      <c r="B8" s="3">
        <f>VLOOKUP(A8,'VW+ANDES'!D:Y,22,0)</f>
        <v>353700</v>
      </c>
      <c r="E8" s="4"/>
      <c r="G8" t="s">
        <v>101</v>
      </c>
      <c r="H8" s="4">
        <f>VLOOKUP(G8,'VW+ANDES'!D:Y,22,0)</f>
        <v>476875</v>
      </c>
      <c r="J8">
        <f>COUNTA(A4:A49)</f>
        <v>13</v>
      </c>
    </row>
    <row r="9" spans="1:12">
      <c r="A9" t="s">
        <v>197</v>
      </c>
      <c r="B9" s="3">
        <f>VLOOKUP(A9,'VW+ANDES'!D:Y,22,0)</f>
        <v>885980</v>
      </c>
      <c r="E9" s="4"/>
      <c r="G9" t="s">
        <v>103</v>
      </c>
      <c r="H9" s="4">
        <f>VLOOKUP(G9,'VW+ANDES'!D:Y,22,0)</f>
        <v>870707</v>
      </c>
    </row>
    <row r="10" spans="1:12">
      <c r="A10" t="s">
        <v>201</v>
      </c>
      <c r="B10" s="3">
        <f>VLOOKUP(A10,'VW+ANDES'!D:Y,22,0)</f>
        <v>487815.49579831935</v>
      </c>
      <c r="E10" s="4"/>
      <c r="G10" t="s">
        <v>107</v>
      </c>
      <c r="H10" s="4">
        <f>VLOOKUP(G10,'VW+ANDES'!D:Y,22,0)</f>
        <v>311957.42016806721</v>
      </c>
      <c r="J10">
        <f>+J4+J6+J8</f>
        <v>47</v>
      </c>
    </row>
    <row r="11" spans="1:12">
      <c r="A11" t="s">
        <v>205</v>
      </c>
      <c r="B11" s="3">
        <f>VLOOKUP(A11,'VW+ANDES'!D:Y,22,0)</f>
        <v>-185057.05042016803</v>
      </c>
      <c r="E11" s="4"/>
      <c r="G11" t="s">
        <v>110</v>
      </c>
      <c r="H11" s="4">
        <f>VLOOKUP(G11,'VW+ANDES'!D:Y,22,0)</f>
        <v>434858.42016806721</v>
      </c>
    </row>
    <row r="12" spans="1:12">
      <c r="A12" t="s">
        <v>175</v>
      </c>
      <c r="B12" s="3">
        <f>VLOOKUP(A12,'VW+ANDES'!D:Y,22,0)</f>
        <v>302143.13445378153</v>
      </c>
      <c r="E12" s="4"/>
      <c r="G12" t="s">
        <v>113</v>
      </c>
      <c r="H12" s="4">
        <f>VLOOKUP(G12,'VW+ANDES'!D:Y,22,0)</f>
        <v>288337</v>
      </c>
    </row>
    <row r="13" spans="1:12">
      <c r="A13" t="s">
        <v>179</v>
      </c>
      <c r="B13" s="3">
        <f>VLOOKUP(A13,'VW+ANDES'!D:Y,22,0)</f>
        <v>880126.58823529421</v>
      </c>
      <c r="E13" s="4"/>
      <c r="G13" t="s">
        <v>115</v>
      </c>
      <c r="H13" s="4">
        <f>VLOOKUP(G13,'VW+ANDES'!D:Y,22,0)</f>
        <v>927766</v>
      </c>
    </row>
    <row r="14" spans="1:12">
      <c r="A14" t="s">
        <v>208</v>
      </c>
      <c r="B14" s="3">
        <f>VLOOKUP(A14,'VW+ANDES'!D:Y,22,0)</f>
        <v>1400200</v>
      </c>
      <c r="D14" s="6"/>
      <c r="E14" s="7"/>
      <c r="G14" t="s">
        <v>118</v>
      </c>
      <c r="H14" s="4">
        <f>VLOOKUP(G14,'VW+ANDES'!D:Y,22,0)</f>
        <v>505034</v>
      </c>
    </row>
    <row r="15" spans="1:12" ht="15.75">
      <c r="A15" t="s">
        <v>213</v>
      </c>
      <c r="B15" s="3">
        <f>VLOOKUP(A15,'VW+ANDES'!D:Y,22,0)</f>
        <v>349022</v>
      </c>
      <c r="D15" s="8" t="s">
        <v>1188</v>
      </c>
      <c r="E15" s="9" t="e">
        <f>AVERAGE(E4:E13)</f>
        <v>#DIV/0!</v>
      </c>
      <c r="G15" t="s">
        <v>121</v>
      </c>
      <c r="H15" s="4">
        <f>VLOOKUP(G15,'VW+ANDES'!D:Y,22,0)</f>
        <v>968026.42016806721</v>
      </c>
    </row>
    <row r="16" spans="1:12" ht="15.75">
      <c r="A16" t="s">
        <v>216</v>
      </c>
      <c r="B16" s="3">
        <f>VLOOKUP(A16,'VW+ANDES'!D:Y,22,0)</f>
        <v>913739.72268907563</v>
      </c>
      <c r="D16" s="8" t="s">
        <v>1187</v>
      </c>
      <c r="E16" s="9">
        <f>SUM(E4:E14)</f>
        <v>0</v>
      </c>
      <c r="G16" t="s">
        <v>124</v>
      </c>
      <c r="H16" s="4">
        <f>VLOOKUP(G16,'VW+ANDES'!D:Y,22,0)</f>
        <v>3734781</v>
      </c>
    </row>
    <row r="17" spans="2:8">
      <c r="B17" s="3"/>
      <c r="G17" t="s">
        <v>127</v>
      </c>
      <c r="H17" s="4">
        <f>VLOOKUP(G17,'VW+ANDES'!D:Y,22,0)</f>
        <v>1160739.4201680673</v>
      </c>
    </row>
    <row r="18" spans="2:8">
      <c r="B18" s="3"/>
      <c r="G18" t="s">
        <v>130</v>
      </c>
      <c r="H18" s="4">
        <f>VLOOKUP(G18,'VW+ANDES'!D:Y,22,0)</f>
        <v>1524042</v>
      </c>
    </row>
    <row r="19" spans="2:8">
      <c r="B19" s="3"/>
      <c r="G19" t="s">
        <v>133</v>
      </c>
      <c r="H19" s="4">
        <f>VLOOKUP(G19,'VW+ANDES'!D:Y,22,0)</f>
        <v>1295025</v>
      </c>
    </row>
    <row r="20" spans="2:8">
      <c r="B20" s="3"/>
      <c r="G20" t="s">
        <v>136</v>
      </c>
      <c r="H20" s="4">
        <f>VLOOKUP(G20,'VW+ANDES'!D:Y,22,0)</f>
        <v>1653840</v>
      </c>
    </row>
    <row r="21" spans="2:8">
      <c r="B21" s="3"/>
      <c r="G21" t="s">
        <v>139</v>
      </c>
      <c r="H21" s="4">
        <f>VLOOKUP(G21,'VW+ANDES'!D:Y,22,0)</f>
        <v>1457178</v>
      </c>
    </row>
    <row r="22" spans="2:8">
      <c r="B22" s="3"/>
      <c r="G22" t="s">
        <v>142</v>
      </c>
      <c r="H22" s="4">
        <f>VLOOKUP(G22,'VW+ANDES'!D:Y,22,0)</f>
        <v>503746.42016806721</v>
      </c>
    </row>
    <row r="23" spans="2:8">
      <c r="B23" s="3"/>
      <c r="G23" t="s">
        <v>75</v>
      </c>
      <c r="H23" s="4">
        <f>VLOOKUP(G23,'VW+ANDES'!D:Y,22,0)</f>
        <v>1564521</v>
      </c>
    </row>
    <row r="24" spans="2:8">
      <c r="B24" s="3"/>
      <c r="G24" t="s">
        <v>78</v>
      </c>
      <c r="H24" s="4">
        <f>VLOOKUP(G24,'VW+ANDES'!D:Y,22,0)</f>
        <v>1025260</v>
      </c>
    </row>
    <row r="25" spans="2:8">
      <c r="B25" s="3"/>
      <c r="G25" t="s">
        <v>82</v>
      </c>
      <c r="H25" s="4">
        <f>VLOOKUP(G25,'VW+ANDES'!D:Y,22,0)</f>
        <v>-2086291</v>
      </c>
    </row>
    <row r="26" spans="2:8">
      <c r="B26" s="3"/>
      <c r="G26" t="s">
        <v>68</v>
      </c>
      <c r="H26" s="4">
        <f>VLOOKUP(G26,'VW+ANDES'!D:Y,22,0)</f>
        <v>744573</v>
      </c>
    </row>
    <row r="27" spans="2:8">
      <c r="B27" s="3"/>
      <c r="G27" t="s">
        <v>72</v>
      </c>
      <c r="H27" s="4">
        <f>VLOOKUP(G27,'VW+ANDES'!D:Y,22,0)</f>
        <v>457957.48739495798</v>
      </c>
    </row>
    <row r="28" spans="2:8">
      <c r="B28" s="3"/>
      <c r="G28" t="s">
        <v>144</v>
      </c>
      <c r="H28" s="4">
        <f>VLOOKUP(G28,'VW+ANDES'!D:Y,22,0)</f>
        <v>-472058</v>
      </c>
    </row>
    <row r="29" spans="2:8">
      <c r="B29" s="3"/>
      <c r="G29" t="s">
        <v>146</v>
      </c>
      <c r="H29" s="4">
        <f>VLOOKUP(G29,'VW+ANDES'!D:Y,22,0)</f>
        <v>201891.42016806721</v>
      </c>
    </row>
    <row r="30" spans="2:8">
      <c r="B30" s="3"/>
      <c r="G30" t="s">
        <v>149</v>
      </c>
      <c r="H30" s="4">
        <f>VLOOKUP(G30,'VW+ANDES'!D:Y,22,0)</f>
        <v>131999</v>
      </c>
    </row>
    <row r="31" spans="2:8">
      <c r="B31" s="3"/>
      <c r="G31" t="s">
        <v>153</v>
      </c>
      <c r="H31" s="4">
        <f>VLOOKUP(G31,'VW+ANDES'!D:Y,22,0)</f>
        <v>1079942</v>
      </c>
    </row>
    <row r="32" spans="2:8">
      <c r="B32" s="3"/>
      <c r="G32" t="s">
        <v>156</v>
      </c>
      <c r="H32" s="4">
        <f>VLOOKUP(G32,'VW+ANDES'!D:Y,22,0)</f>
        <v>311419</v>
      </c>
    </row>
    <row r="33" spans="2:8">
      <c r="B33" s="3"/>
      <c r="G33" t="s">
        <v>159</v>
      </c>
      <c r="H33" s="4">
        <f>VLOOKUP(G33,'VW+ANDES'!D:Y,22,0)</f>
        <v>685194.42016806721</v>
      </c>
    </row>
    <row r="34" spans="2:8">
      <c r="B34" s="3"/>
      <c r="G34" t="s">
        <v>162</v>
      </c>
      <c r="H34" s="4">
        <f>VLOOKUP(G34,'VW+ANDES'!D:Y,22,0)</f>
        <v>942009</v>
      </c>
    </row>
    <row r="35" spans="2:8">
      <c r="B35" s="3"/>
      <c r="G35" t="s">
        <v>166</v>
      </c>
      <c r="H35" s="4">
        <f>VLOOKUP(G35,'VW+ANDES'!D:Y,22,0)</f>
        <v>656352</v>
      </c>
    </row>
    <row r="36" spans="2:8">
      <c r="B36" s="3"/>
      <c r="G36" t="s">
        <v>169</v>
      </c>
      <c r="H36" s="4">
        <f>VLOOKUP(G36,'VW+ANDES'!D:Y,22,0)</f>
        <v>695874.84033613442</v>
      </c>
    </row>
    <row r="37" spans="2:8">
      <c r="B37" s="3"/>
      <c r="G37" t="s">
        <v>172</v>
      </c>
      <c r="H37" s="4">
        <f>VLOOKUP(G37,'VW+ANDES'!D:Y,22,0)</f>
        <v>1458814</v>
      </c>
    </row>
    <row r="38" spans="2:8">
      <c r="B38" s="3"/>
      <c r="H38" s="4"/>
    </row>
    <row r="39" spans="2:8">
      <c r="B39" s="3"/>
      <c r="H39" s="4"/>
    </row>
    <row r="40" spans="2:8">
      <c r="B40" s="3"/>
      <c r="H40" s="4"/>
    </row>
    <row r="41" spans="2:8">
      <c r="B41" s="3"/>
      <c r="H41" s="4"/>
    </row>
    <row r="42" spans="2:8">
      <c r="B42" s="3"/>
      <c r="H42" s="4"/>
    </row>
    <row r="43" spans="2:8">
      <c r="B43" s="3"/>
      <c r="H43" s="4"/>
    </row>
    <row r="44" spans="2:8">
      <c r="B44" s="3"/>
      <c r="H44" s="4"/>
    </row>
    <row r="45" spans="2:8">
      <c r="B45" s="3"/>
      <c r="H45" s="4"/>
    </row>
    <row r="46" spans="2:8">
      <c r="B46" s="3"/>
      <c r="H46" s="4"/>
    </row>
    <row r="47" spans="2:8">
      <c r="B47" s="3"/>
      <c r="H47" s="4"/>
    </row>
    <row r="48" spans="2:8">
      <c r="B48" s="3"/>
      <c r="H48" s="4"/>
    </row>
    <row r="49" spans="1:8">
      <c r="B49" s="3"/>
      <c r="H49" s="4"/>
    </row>
    <row r="50" spans="1:8">
      <c r="H50" s="4"/>
    </row>
    <row r="51" spans="1:8" ht="15.75">
      <c r="A51" s="8" t="s">
        <v>1188</v>
      </c>
      <c r="B51" s="9">
        <f>AVERAGE(B4:B49)</f>
        <v>608609.48674854566</v>
      </c>
      <c r="H51" s="4"/>
    </row>
    <row r="52" spans="1:8" ht="15.75">
      <c r="A52" s="8" t="s">
        <v>1187</v>
      </c>
      <c r="B52" s="9">
        <f>SUM(B4:B49)</f>
        <v>7911923.3277310934</v>
      </c>
      <c r="H52" s="4"/>
    </row>
    <row r="53" spans="1:8">
      <c r="H53" s="4"/>
    </row>
    <row r="54" spans="1:8">
      <c r="G54" s="10"/>
      <c r="H54" s="7"/>
    </row>
    <row r="56" spans="1:8" ht="15.75">
      <c r="G56" s="8" t="s">
        <v>1188</v>
      </c>
      <c r="H56" s="9">
        <f>AVERAGE(H4:H54)</f>
        <v>752916.91262975789</v>
      </c>
    </row>
    <row r="57" spans="1:8" ht="15.75">
      <c r="G57" s="8" t="s">
        <v>1187</v>
      </c>
      <c r="H57" s="9">
        <f>SUM(H4:H54)</f>
        <v>25599175.029411767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VW+ANDES</vt:lpstr>
      <vt:lpstr>VW</vt:lpstr>
      <vt:lpstr>ANDES</vt:lpstr>
      <vt:lpstr>USADOS</vt:lpstr>
      <vt:lpstr>Archivo con Bonos Ingresados 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Ventas</dc:title>
  <dc:creator>rgazitua@autosachondo.cl</dc:creator>
  <cp:lastModifiedBy>Elena Guzman</cp:lastModifiedBy>
  <cp:lastPrinted>2025-02-10T21:36:21Z</cp:lastPrinted>
  <dcterms:created xsi:type="dcterms:W3CDTF">2025-01-13T10:44:59Z</dcterms:created>
  <dcterms:modified xsi:type="dcterms:W3CDTF">2025-03-25T14:45:55Z</dcterms:modified>
</cp:coreProperties>
</file>